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defaultThemeVersion="124226"/>
  <bookViews>
    <workbookView xWindow="0" yWindow="140" windowWidth="19140" windowHeight="7090" activeTab="4"/>
  </bookViews>
  <sheets>
    <sheet name="Raw Data " sheetId="1" r:id="rId1"/>
    <sheet name="Clean Data" sheetId="2" r:id="rId2"/>
    <sheet name="Pivot" sheetId="4" r:id="rId3"/>
    <sheet name="Dashboard" sheetId="3" r:id="rId4"/>
    <sheet name="Insights" sheetId="5" r:id="rId5"/>
  </sheets>
  <definedNames>
    <definedName name="Slicer_Category">#N/A</definedName>
    <definedName name="Slicer_Product">#N/A</definedName>
    <definedName name="Slicer_Region">#N/A</definedName>
  </definedNames>
  <calcPr calcId="144525"/>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J5" i="3" l="1"/>
  <c r="H5" i="3"/>
  <c r="F5" i="3"/>
  <c r="D5" i="3"/>
  <c r="B5" i="3"/>
  <c r="J41" i="2"/>
  <c r="I41" i="2"/>
  <c r="H41" i="2"/>
  <c r="J40" i="2"/>
  <c r="I40" i="2"/>
  <c r="H40" i="2"/>
  <c r="J39" i="2"/>
  <c r="I39" i="2"/>
  <c r="H39" i="2"/>
  <c r="J38" i="2"/>
  <c r="I38" i="2"/>
  <c r="H38" i="2"/>
  <c r="J37" i="2"/>
  <c r="I37" i="2"/>
  <c r="H37" i="2"/>
  <c r="J36" i="2"/>
  <c r="I36" i="2"/>
  <c r="H36" i="2"/>
  <c r="J35" i="2"/>
  <c r="I35" i="2"/>
  <c r="H35" i="2"/>
  <c r="J34" i="2"/>
  <c r="I34" i="2"/>
  <c r="H34" i="2"/>
  <c r="J33" i="2"/>
  <c r="I33" i="2"/>
  <c r="H33" i="2"/>
  <c r="J32" i="2"/>
  <c r="I32" i="2"/>
  <c r="H32" i="2"/>
  <c r="J31" i="2"/>
  <c r="I31" i="2"/>
  <c r="H31" i="2"/>
  <c r="J30" i="2"/>
  <c r="I30" i="2"/>
  <c r="H30" i="2"/>
  <c r="J29" i="2"/>
  <c r="I29" i="2"/>
  <c r="H29" i="2"/>
  <c r="J28" i="2"/>
  <c r="I28" i="2"/>
  <c r="H28" i="2"/>
  <c r="J27" i="2"/>
  <c r="I27" i="2"/>
  <c r="H27" i="2"/>
  <c r="J26" i="2"/>
  <c r="I26" i="2"/>
  <c r="H26" i="2"/>
  <c r="J25" i="2"/>
  <c r="I25" i="2"/>
  <c r="H25" i="2"/>
  <c r="J24" i="2"/>
  <c r="I24" i="2"/>
  <c r="H24" i="2"/>
  <c r="J23" i="2"/>
  <c r="I23" i="2"/>
  <c r="H23" i="2"/>
  <c r="J22" i="2"/>
  <c r="I22" i="2"/>
  <c r="H22" i="2"/>
  <c r="J21" i="2"/>
  <c r="I21" i="2"/>
  <c r="H21" i="2"/>
  <c r="J20" i="2"/>
  <c r="I20" i="2"/>
  <c r="H20" i="2"/>
  <c r="J19" i="2"/>
  <c r="I19" i="2"/>
  <c r="H19" i="2"/>
  <c r="J18" i="2"/>
  <c r="I18" i="2"/>
  <c r="H18" i="2"/>
  <c r="J17" i="2"/>
  <c r="I17" i="2"/>
  <c r="H17" i="2"/>
  <c r="J16" i="2"/>
  <c r="I16" i="2"/>
  <c r="H16" i="2"/>
  <c r="J15" i="2"/>
  <c r="I15" i="2"/>
  <c r="H15" i="2"/>
  <c r="J14" i="2"/>
  <c r="I14" i="2"/>
  <c r="H14" i="2"/>
  <c r="J13" i="2"/>
  <c r="I13" i="2"/>
  <c r="H13" i="2"/>
  <c r="J12" i="2"/>
  <c r="I12" i="2"/>
  <c r="H12" i="2"/>
  <c r="J11" i="2"/>
  <c r="I11" i="2"/>
  <c r="H11" i="2"/>
  <c r="J10" i="2"/>
  <c r="I10" i="2"/>
  <c r="H10" i="2"/>
  <c r="J9" i="2"/>
  <c r="I9" i="2"/>
  <c r="H9" i="2"/>
  <c r="J8" i="2"/>
  <c r="I8" i="2"/>
  <c r="H8" i="2"/>
  <c r="J7" i="2"/>
  <c r="I7" i="2"/>
  <c r="H7" i="2"/>
  <c r="J6" i="2"/>
  <c r="I6" i="2"/>
  <c r="H6" i="2"/>
  <c r="J5" i="2"/>
  <c r="I5" i="2"/>
  <c r="H5" i="2"/>
  <c r="J4" i="2"/>
  <c r="I4" i="2"/>
  <c r="H4" i="2"/>
  <c r="J3" i="2"/>
  <c r="I3" i="2"/>
  <c r="H3" i="2"/>
  <c r="J2" i="2"/>
  <c r="I2" i="2"/>
  <c r="H2" i="2"/>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H42" i="1"/>
</calcChain>
</file>

<file path=xl/sharedStrings.xml><?xml version="1.0" encoding="utf-8"?>
<sst xmlns="http://schemas.openxmlformats.org/spreadsheetml/2006/main" count="313" uniqueCount="49">
  <si>
    <t>Order Date</t>
  </si>
  <si>
    <t>Region</t>
  </si>
  <si>
    <t>Product</t>
  </si>
  <si>
    <t>Category</t>
  </si>
  <si>
    <t>Sales</t>
  </si>
  <si>
    <t>Cost</t>
  </si>
  <si>
    <t>Quantity</t>
  </si>
  <si>
    <t>North</t>
  </si>
  <si>
    <t>Laptop</t>
  </si>
  <si>
    <t>Electronics</t>
  </si>
  <si>
    <t>South</t>
  </si>
  <si>
    <t>Chair</t>
  </si>
  <si>
    <t>Furniture</t>
  </si>
  <si>
    <t>East</t>
  </si>
  <si>
    <t>Mobile</t>
  </si>
  <si>
    <t>West</t>
  </si>
  <si>
    <t>Table</t>
  </si>
  <si>
    <t>Headphones</t>
  </si>
  <si>
    <t>Sofa</t>
  </si>
  <si>
    <t>Printer</t>
  </si>
  <si>
    <t>Bookshelf</t>
  </si>
  <si>
    <t>Tablet</t>
  </si>
  <si>
    <t>Desk</t>
  </si>
  <si>
    <t>Profit</t>
  </si>
  <si>
    <t>Month Name</t>
  </si>
  <si>
    <t>Month no.</t>
  </si>
  <si>
    <t>Grand Total</t>
  </si>
  <si>
    <t>Sum of Sales</t>
  </si>
  <si>
    <t>Region-wise</t>
  </si>
  <si>
    <t>Sum of Profit</t>
  </si>
  <si>
    <t>Product wise</t>
  </si>
  <si>
    <t>Category-wise</t>
  </si>
  <si>
    <t>January</t>
  </si>
  <si>
    <t>February</t>
  </si>
  <si>
    <t>March</t>
  </si>
  <si>
    <t>April</t>
  </si>
  <si>
    <t>Sales Insights Dashboard</t>
  </si>
  <si>
    <t>Total Profit</t>
  </si>
  <si>
    <t xml:space="preserve">Total Revenue </t>
  </si>
  <si>
    <t>Total cost</t>
  </si>
  <si>
    <t>Total Quantity</t>
  </si>
  <si>
    <t>Profit Margin</t>
  </si>
  <si>
    <t>Key Insights</t>
  </si>
  <si>
    <t>Top Region by Sales</t>
  </si>
  <si>
    <t>Top Product by Sales</t>
  </si>
  <si>
    <t>Best Category</t>
  </si>
  <si>
    <t>Best Month by Sales</t>
  </si>
  <si>
    <t>Lowest Month by Profit</t>
  </si>
  <si>
    <t>month wise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</si>
</sst>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quot;\ #,##0.00"/>
  </numFmts>
  <fonts count="4"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14" fontId="0" fillId="0" borderId="0" xfId="0" applyNumberFormat="1"/>
    <xf numFmtId="0" fontId="2" fillId="0" borderId="0" xfId="0" applyFont="1" applyAlignment="1">
      <alignment horizontal="center"/>
    </xf>
    <xf numFmtId="0" fontId="0" fillId="0" borderId="0" xfId="0" applyAlignment="1">
      <alignment horizontal="center"/>
    </xf>
    <xf numFmtId="49" fontId="2" fillId="0" borderId="0" xfId="0" applyNumberFormat="1" applyFont="1" applyAlignment="1">
      <alignment horizontal="center"/>
    </xf>
    <xf numFmtId="0" fontId="0" fillId="0" borderId="0" xfId="0" applyNumberFormat="1"/>
    <xf numFmtId="0" fontId="2" fillId="0" borderId="0" xfId="0" applyFont="1" applyAlignment="1">
      <alignment horizontal="right"/>
    </xf>
    <xf numFmtId="0" fontId="0" fillId="0" borderId="0" xfId="0" applyAlignment="1">
      <alignment horizontal="right"/>
    </xf>
    <xf numFmtId="0" fontId="0" fillId="0" borderId="0" xfId="0" pivotButton="1"/>
    <xf numFmtId="0" fontId="0" fillId="0" borderId="0" xfId="0" applyAlignment="1">
      <alignment horizontal="left"/>
    </xf>
    <xf numFmtId="0" fontId="3" fillId="0" borderId="0" xfId="0" applyFont="1"/>
    <xf numFmtId="9" fontId="0" fillId="0" borderId="0" xfId="1" applyFont="1"/>
    <xf numFmtId="0" fontId="0" fillId="0" borderId="0" xfId="0" applyFont="1"/>
    <xf numFmtId="164" fontId="0" fillId="0" borderId="0" xfId="0" applyNumberFormat="1"/>
  </cellXfs>
  <cellStyles count="2">
    <cellStyle name="Normal" xfId="0" builtinId="0"/>
    <cellStyle name="Percent" xfId="1" builtinId="5"/>
  </cellStyles>
  <dxfs count="8">
    <dxf>
      <numFmt numFmtId="0" formatCode="General"/>
      <alignment horizontal="right" vertical="bottom" textRotation="0" wrapText="0" indent="0" justifyLastLine="0" shrinkToFit="0" readingOrder="0"/>
    </dxf>
    <dxf>
      <numFmt numFmtId="0" formatCode="General"/>
    </dxf>
    <dxf>
      <numFmt numFmtId="19" formatCode="dd/mm/yyyy"/>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numFmt numFmtId="0" formatCode="General"/>
    </dxf>
    <dxf>
      <numFmt numFmtId="0" formatCode="General"/>
    </dxf>
    <dxf>
      <numFmt numFmtId="19" formatCode="dd/mm/yyyy"/>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[Sales Insights Dashboard.xlsx]Pivot!PivotTable1</c:name>
    <c:fmtId val="2"/>
  </c:pivotSource>
  <c:chart>
    <c:title>
      <c:tx>
        <c:rich>
          <a:bodyPr/>
          <a:lstStyle/>
          <a:p>
            <a:pPr>
              <a:defRPr/>
            </a:pPr>
            <a:r>
              <a:rPr lang="en-IN"/>
              <a:t>Revenue</a:t>
            </a:r>
            <a:r>
              <a:rPr lang="en-IN" baseline="0"/>
              <a:t> by Region</a:t>
            </a:r>
          </a:p>
        </c:rich>
      </c:tx>
      <c:layout>
        <c:manualLayout>
          <c:xMode val="edge"/>
          <c:yMode val="edge"/>
          <c:x val="0.33587507041071923"/>
          <c:y val="1.7744260840634359E-2"/>
        </c:manualLayout>
      </c:layout>
      <c:overlay val="1"/>
    </c:title>
    <c:autoTitleDeleted val="0"/>
    <c:pivotFmts>
      <c:pivotFmt>
        <c:idx val="0"/>
        <c:marker>
          <c:symbol val="none"/>
        </c:marker>
        <c:dLbl>
          <c:idx val="0"/>
          <c:delete val="1"/>
        </c:dLbl>
      </c:pivotFmt>
      <c:pivotFmt>
        <c:idx val="1"/>
        <c:marker>
          <c:symbol val="none"/>
        </c:marker>
        <c:dLbl>
          <c:idx val="0"/>
          <c:delete val="1"/>
        </c:dLbl>
      </c:pivotFmt>
      <c:pivotFmt>
        <c:idx val="2"/>
        <c:dLbl>
          <c:idx val="0"/>
          <c:dLblPos val="outEnd"/>
          <c:showLegendKey val="0"/>
          <c:showVal val="1"/>
          <c:showCatName val="0"/>
          <c:showSerName val="1"/>
          <c:showPercent val="0"/>
          <c:showBubbleSize val="0"/>
        </c:dLbl>
      </c:pivotFmt>
      <c:pivotFmt>
        <c:idx val="3"/>
        <c:dLbl>
          <c:idx val="0"/>
          <c:dLblPos val="outEnd"/>
          <c:showLegendKey val="0"/>
          <c:showVal val="1"/>
          <c:showCatName val="0"/>
          <c:showSerName val="1"/>
          <c:showPercent val="0"/>
          <c:showBubbleSize val="0"/>
        </c:dLbl>
      </c:pivotFmt>
      <c:pivotFmt>
        <c:idx val="4"/>
        <c:marker>
          <c:symbol val="none"/>
        </c:marker>
        <c:dLbl>
          <c:idx val="0"/>
          <c:delete val="1"/>
        </c:dLbl>
      </c:pivotFmt>
      <c:pivotFmt>
        <c:idx val="5"/>
        <c:dLbl>
          <c:idx val="0"/>
          <c:dLblPos val="outEnd"/>
          <c:showLegendKey val="0"/>
          <c:showVal val="1"/>
          <c:showCatName val="0"/>
          <c:showSerName val="1"/>
          <c:showPercent val="0"/>
          <c:showBubbleSize val="0"/>
        </c:dLbl>
      </c:pivotFmt>
      <c:pivotFmt>
        <c:idx val="6"/>
        <c:marker>
          <c:symbol val="none"/>
        </c:marker>
        <c:dLbl>
          <c:idx val="0"/>
          <c:delete val="1"/>
        </c:dLbl>
      </c:pivotFmt>
      <c:pivotFmt>
        <c:idx val="7"/>
        <c:dLbl>
          <c:idx val="0"/>
          <c:dLblPos val="outEnd"/>
          <c:showLegendKey val="0"/>
          <c:showVal val="1"/>
          <c:showCatName val="0"/>
          <c:showSerName val="1"/>
          <c:showPercent val="0"/>
          <c:showBubbleSize val="0"/>
        </c:dLbl>
      </c:pivotFmt>
      <c:pivotFmt>
        <c:idx val="8"/>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9"/>
      </c:pivotFmt>
      <c:pivotFmt>
        <c:idx val="10"/>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11"/>
      </c:pivotFmt>
    </c:pivotFmts>
    <c:plotArea>
      <c:layout>
        <c:manualLayout>
          <c:layoutTarget val="inner"/>
          <c:xMode val="edge"/>
          <c:yMode val="edge"/>
          <c:x val="0.1445463152722348"/>
          <c:y val="0.23151565561347084"/>
          <c:w val="0.81726572916404616"/>
          <c:h val="0.38337476058735903"/>
        </c:manualLayout>
      </c:layout>
      <c:barChart>
        <c:barDir val="col"/>
        <c:grouping val="clustered"/>
        <c:varyColors val="0"/>
        <c:ser>
          <c:idx val="0"/>
          <c:order val="0"/>
          <c:tx>
            <c:strRef>
              <c:f>Pivot!$B$3</c:f>
              <c:strCache>
                <c:ptCount val="1"/>
                <c:pt idx="0">
                  <c:v>Sum of Sales</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Pivot!$A$4:$A$8</c:f>
              <c:strCache>
                <c:ptCount val="4"/>
                <c:pt idx="0">
                  <c:v>East</c:v>
                </c:pt>
                <c:pt idx="1">
                  <c:v>North</c:v>
                </c:pt>
                <c:pt idx="2">
                  <c:v>South</c:v>
                </c:pt>
                <c:pt idx="3">
                  <c:v>West</c:v>
                </c:pt>
              </c:strCache>
            </c:strRef>
          </c:cat>
          <c:val>
            <c:numRef>
              <c:f>Pivot!$B$4:$B$8</c:f>
              <c:numCache>
                <c:formatCode>General</c:formatCode>
                <c:ptCount val="4"/>
                <c:pt idx="0">
                  <c:v>281500</c:v>
                </c:pt>
                <c:pt idx="1">
                  <c:v>259500</c:v>
                </c:pt>
                <c:pt idx="2">
                  <c:v>171200</c:v>
                </c:pt>
                <c:pt idx="3">
                  <c:v>172300</c:v>
                </c:pt>
              </c:numCache>
            </c:numRef>
          </c:val>
        </c:ser>
        <c:ser>
          <c:idx val="1"/>
          <c:order val="1"/>
          <c:tx>
            <c:strRef>
              <c:f>Pivot!$C$3</c:f>
              <c:strCache>
                <c:ptCount val="1"/>
                <c:pt idx="0">
                  <c:v>Sum of Profit</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Pivot!$A$4:$A$8</c:f>
              <c:strCache>
                <c:ptCount val="4"/>
                <c:pt idx="0">
                  <c:v>East</c:v>
                </c:pt>
                <c:pt idx="1">
                  <c:v>North</c:v>
                </c:pt>
                <c:pt idx="2">
                  <c:v>South</c:v>
                </c:pt>
                <c:pt idx="3">
                  <c:v>West</c:v>
                </c:pt>
              </c:strCache>
            </c:strRef>
          </c:cat>
          <c:val>
            <c:numRef>
              <c:f>Pivot!$C$4:$C$8</c:f>
              <c:numCache>
                <c:formatCode>General</c:formatCode>
                <c:ptCount val="4"/>
                <c:pt idx="0">
                  <c:v>59900</c:v>
                </c:pt>
                <c:pt idx="1">
                  <c:v>53300</c:v>
                </c:pt>
                <c:pt idx="2">
                  <c:v>44100</c:v>
                </c:pt>
                <c:pt idx="3">
                  <c:v>43900</c:v>
                </c:pt>
              </c:numCache>
            </c:numRef>
          </c:val>
        </c:ser>
        <c:dLbls>
          <c:showLegendKey val="0"/>
          <c:showVal val="1"/>
          <c:showCatName val="0"/>
          <c:showSerName val="0"/>
          <c:showPercent val="0"/>
          <c:showBubbleSize val="0"/>
        </c:dLbls>
        <c:gapWidth val="75"/>
        <c:axId val="234017920"/>
        <c:axId val="234019456"/>
      </c:barChart>
      <c:catAx>
        <c:axId val="234017920"/>
        <c:scaling>
          <c:orientation val="minMax"/>
        </c:scaling>
        <c:delete val="0"/>
        <c:axPos val="b"/>
        <c:majorTickMark val="none"/>
        <c:minorTickMark val="none"/>
        <c:tickLblPos val="nextTo"/>
        <c:crossAx val="234019456"/>
        <c:crosses val="autoZero"/>
        <c:auto val="1"/>
        <c:lblAlgn val="ctr"/>
        <c:lblOffset val="100"/>
        <c:noMultiLvlLbl val="0"/>
      </c:catAx>
      <c:valAx>
        <c:axId val="234019456"/>
        <c:scaling>
          <c:orientation val="minMax"/>
        </c:scaling>
        <c:delete val="0"/>
        <c:axPos val="l"/>
        <c:numFmt formatCode="General" sourceLinked="1"/>
        <c:majorTickMark val="none"/>
        <c:minorTickMark val="none"/>
        <c:tickLblPos val="nextTo"/>
        <c:crossAx val="234017920"/>
        <c:crosses val="autoZero"/>
        <c:crossBetween val="between"/>
      </c:valAx>
    </c:plotArea>
    <c:legend>
      <c:legendPos val="b"/>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[Sales Insights Dashboard.xlsx]Pivot!PivotTable2</c:name>
    <c:fmtId val="2"/>
  </c:pivotSource>
  <c:chart>
    <c:title>
      <c:tx>
        <c:rich>
          <a:bodyPr/>
          <a:lstStyle/>
          <a:p>
            <a:pPr>
              <a:defRPr/>
            </a:pPr>
            <a:r>
              <a:rPr lang="en-IN"/>
              <a:t>Sales</a:t>
            </a:r>
            <a:r>
              <a:rPr lang="en-IN" baseline="0"/>
              <a:t> by Product</a:t>
            </a:r>
          </a:p>
        </c:rich>
      </c:tx>
      <c:layout>
        <c:manualLayout>
          <c:xMode val="edge"/>
          <c:yMode val="edge"/>
          <c:x val="0.56152786877434568"/>
          <c:y val="2.223036073979125E-2"/>
        </c:manualLayout>
      </c:layout>
      <c:overlay val="1"/>
    </c:title>
    <c:autoTitleDeleted val="0"/>
    <c:pivotFmts>
      <c:pivotFmt>
        <c:idx val="0"/>
        <c:marker>
          <c:symbol val="none"/>
        </c:marker>
      </c:pivotFmt>
      <c:pivotFmt>
        <c:idx val="1"/>
        <c:marker>
          <c:symbol val="none"/>
        </c:marker>
      </c:pivotFmt>
      <c:pivotFmt>
        <c:idx val="2"/>
      </c:pivotFmt>
      <c:pivotFmt>
        <c:idx val="3"/>
      </c:pivotFmt>
      <c:pivotFmt>
        <c:idx val="4"/>
        <c:marker>
          <c:symbol val="none"/>
        </c:marker>
      </c:pivotFmt>
      <c:pivotFmt>
        <c:idx val="5"/>
        <c:marker>
          <c:symbol val="none"/>
        </c:marker>
      </c:pivotFmt>
      <c:pivotFmt>
        <c:idx val="6"/>
        <c:marker>
          <c:symbol val="none"/>
        </c:marker>
      </c:pivotFmt>
      <c:pivotFmt>
        <c:idx val="7"/>
        <c:marker>
          <c:symbol val="none"/>
        </c:marker>
      </c:pivotFmt>
    </c:pivotFmts>
    <c:plotArea>
      <c:layout/>
      <c:barChart>
        <c:barDir val="bar"/>
        <c:grouping val="clustered"/>
        <c:varyColors val="0"/>
        <c:ser>
          <c:idx val="0"/>
          <c:order val="0"/>
          <c:tx>
            <c:strRef>
              <c:f>Pivot!$B$11</c:f>
              <c:strCache>
                <c:ptCount val="1"/>
                <c:pt idx="0">
                  <c:v>Sum of Sales</c:v>
                </c:pt>
              </c:strCache>
            </c:strRef>
          </c:tx>
          <c:invertIfNegative val="0"/>
          <c:cat>
            <c:strRef>
              <c:f>Pivot!$A$12:$A$22</c:f>
              <c:strCache>
                <c:ptCount val="10"/>
                <c:pt idx="0">
                  <c:v>Bookshelf</c:v>
                </c:pt>
                <c:pt idx="1">
                  <c:v>Chair</c:v>
                </c:pt>
                <c:pt idx="2">
                  <c:v>Desk</c:v>
                </c:pt>
                <c:pt idx="3">
                  <c:v>Headphones</c:v>
                </c:pt>
                <c:pt idx="4">
                  <c:v>Laptop</c:v>
                </c:pt>
                <c:pt idx="5">
                  <c:v>Mobile</c:v>
                </c:pt>
                <c:pt idx="6">
                  <c:v>Printer</c:v>
                </c:pt>
                <c:pt idx="7">
                  <c:v>Sofa</c:v>
                </c:pt>
                <c:pt idx="8">
                  <c:v>Table</c:v>
                </c:pt>
                <c:pt idx="9">
                  <c:v>Tablet</c:v>
                </c:pt>
              </c:strCache>
            </c:strRef>
          </c:cat>
          <c:val>
            <c:numRef>
              <c:f>Pivot!$B$12:$B$22</c:f>
              <c:numCache>
                <c:formatCode>General</c:formatCode>
                <c:ptCount val="10"/>
                <c:pt idx="0">
                  <c:v>58700</c:v>
                </c:pt>
                <c:pt idx="1">
                  <c:v>43500</c:v>
                </c:pt>
                <c:pt idx="2">
                  <c:v>63800</c:v>
                </c:pt>
                <c:pt idx="3">
                  <c:v>34000</c:v>
                </c:pt>
                <c:pt idx="4">
                  <c:v>235000</c:v>
                </c:pt>
                <c:pt idx="5">
                  <c:v>119500</c:v>
                </c:pt>
                <c:pt idx="6">
                  <c:v>59000</c:v>
                </c:pt>
                <c:pt idx="7">
                  <c:v>106000</c:v>
                </c:pt>
                <c:pt idx="8">
                  <c:v>71500</c:v>
                </c:pt>
                <c:pt idx="9">
                  <c:v>93500</c:v>
                </c:pt>
              </c:numCache>
            </c:numRef>
          </c:val>
        </c:ser>
        <c:ser>
          <c:idx val="1"/>
          <c:order val="1"/>
          <c:tx>
            <c:strRef>
              <c:f>Pivot!$C$11</c:f>
              <c:strCache>
                <c:ptCount val="1"/>
                <c:pt idx="0">
                  <c:v>Sum of Profit</c:v>
                </c:pt>
              </c:strCache>
            </c:strRef>
          </c:tx>
          <c:invertIfNegative val="0"/>
          <c:cat>
            <c:strRef>
              <c:f>Pivot!$A$12:$A$22</c:f>
              <c:strCache>
                <c:ptCount val="10"/>
                <c:pt idx="0">
                  <c:v>Bookshelf</c:v>
                </c:pt>
                <c:pt idx="1">
                  <c:v>Chair</c:v>
                </c:pt>
                <c:pt idx="2">
                  <c:v>Desk</c:v>
                </c:pt>
                <c:pt idx="3">
                  <c:v>Headphones</c:v>
                </c:pt>
                <c:pt idx="4">
                  <c:v>Laptop</c:v>
                </c:pt>
                <c:pt idx="5">
                  <c:v>Mobile</c:v>
                </c:pt>
                <c:pt idx="6">
                  <c:v>Printer</c:v>
                </c:pt>
                <c:pt idx="7">
                  <c:v>Sofa</c:v>
                </c:pt>
                <c:pt idx="8">
                  <c:v>Table</c:v>
                </c:pt>
                <c:pt idx="9">
                  <c:v>Tablet</c:v>
                </c:pt>
              </c:strCache>
            </c:strRef>
          </c:cat>
          <c:val>
            <c:numRef>
              <c:f>Pivot!$C$12:$C$22</c:f>
              <c:numCache>
                <c:formatCode>General</c:formatCode>
                <c:ptCount val="10"/>
                <c:pt idx="0">
                  <c:v>16200</c:v>
                </c:pt>
                <c:pt idx="1">
                  <c:v>12300</c:v>
                </c:pt>
                <c:pt idx="2">
                  <c:v>15700</c:v>
                </c:pt>
                <c:pt idx="3">
                  <c:v>14100</c:v>
                </c:pt>
                <c:pt idx="4">
                  <c:v>37000</c:v>
                </c:pt>
                <c:pt idx="5">
                  <c:v>25000</c:v>
                </c:pt>
                <c:pt idx="6">
                  <c:v>15500</c:v>
                </c:pt>
                <c:pt idx="7">
                  <c:v>24400</c:v>
                </c:pt>
                <c:pt idx="8">
                  <c:v>19400</c:v>
                </c:pt>
                <c:pt idx="9">
                  <c:v>21600</c:v>
                </c:pt>
              </c:numCache>
            </c:numRef>
          </c:val>
        </c:ser>
        <c:dLbls>
          <c:showLegendKey val="0"/>
          <c:showVal val="0"/>
          <c:showCatName val="0"/>
          <c:showSerName val="0"/>
          <c:showPercent val="0"/>
          <c:showBubbleSize val="0"/>
        </c:dLbls>
        <c:gapWidth val="150"/>
        <c:axId val="233840000"/>
        <c:axId val="233878656"/>
      </c:barChart>
      <c:catAx>
        <c:axId val="233840000"/>
        <c:scaling>
          <c:orientation val="minMax"/>
        </c:scaling>
        <c:delete val="0"/>
        <c:axPos val="l"/>
        <c:majorTickMark val="out"/>
        <c:minorTickMark val="none"/>
        <c:tickLblPos val="nextTo"/>
        <c:crossAx val="233878656"/>
        <c:crosses val="autoZero"/>
        <c:auto val="1"/>
        <c:lblAlgn val="ctr"/>
        <c:lblOffset val="100"/>
        <c:noMultiLvlLbl val="0"/>
      </c:catAx>
      <c:valAx>
        <c:axId val="233878656"/>
        <c:scaling>
          <c:orientation val="minMax"/>
        </c:scaling>
        <c:delete val="0"/>
        <c:axPos val="b"/>
        <c:majorGridlines/>
        <c:numFmt formatCode="General" sourceLinked="1"/>
        <c:majorTickMark val="out"/>
        <c:minorTickMark val="none"/>
        <c:tickLblPos val="nextTo"/>
        <c:crossAx val="23384000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[Sales Insights Dashboard.xlsx]Pivot!PivotTable3</c:name>
    <c:fmtId val="3"/>
  </c:pivotSource>
  <c:chart>
    <c:title>
      <c:tx>
        <c:rich>
          <a:bodyPr/>
          <a:lstStyle/>
          <a:p>
            <a:pPr>
              <a:defRPr/>
            </a:pPr>
            <a:r>
              <a:rPr lang="en-US"/>
              <a:t>Sales by Category</a:t>
            </a:r>
          </a:p>
          <a:p>
            <a:pPr>
              <a:defRPr/>
            </a:pPr>
            <a:endParaRPr lang="en-US"/>
          </a:p>
        </c:rich>
      </c:tx>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pieChart>
        <c:varyColors val="1"/>
        <c:ser>
          <c:idx val="0"/>
          <c:order val="0"/>
          <c:tx>
            <c:strRef>
              <c:f>Pivot!$B$25</c:f>
              <c:strCache>
                <c:ptCount val="1"/>
                <c:pt idx="0">
                  <c:v>Sum of Sales</c:v>
                </c:pt>
              </c:strCache>
            </c:strRef>
          </c:tx>
          <c:cat>
            <c:strRef>
              <c:f>Pivot!$A$26:$A$28</c:f>
              <c:strCache>
                <c:ptCount val="2"/>
                <c:pt idx="0">
                  <c:v>Electronics</c:v>
                </c:pt>
                <c:pt idx="1">
                  <c:v>Furniture</c:v>
                </c:pt>
              </c:strCache>
            </c:strRef>
          </c:cat>
          <c:val>
            <c:numRef>
              <c:f>Pivot!$B$26:$B$28</c:f>
              <c:numCache>
                <c:formatCode>General</c:formatCode>
                <c:ptCount val="2"/>
                <c:pt idx="0">
                  <c:v>541000</c:v>
                </c:pt>
                <c:pt idx="1">
                  <c:v>343500</c:v>
                </c:pt>
              </c:numCache>
            </c:numRef>
          </c:val>
        </c:ser>
        <c:ser>
          <c:idx val="1"/>
          <c:order val="1"/>
          <c:tx>
            <c:strRef>
              <c:f>Pivot!$C$25</c:f>
              <c:strCache>
                <c:ptCount val="1"/>
                <c:pt idx="0">
                  <c:v>Sum of Profit</c:v>
                </c:pt>
              </c:strCache>
            </c:strRef>
          </c:tx>
          <c:cat>
            <c:strRef>
              <c:f>Pivot!$A$26:$A$28</c:f>
              <c:strCache>
                <c:ptCount val="2"/>
                <c:pt idx="0">
                  <c:v>Electronics</c:v>
                </c:pt>
                <c:pt idx="1">
                  <c:v>Furniture</c:v>
                </c:pt>
              </c:strCache>
            </c:strRef>
          </c:cat>
          <c:val>
            <c:numRef>
              <c:f>Pivot!$C$26:$C$28</c:f>
              <c:numCache>
                <c:formatCode>General</c:formatCode>
                <c:ptCount val="2"/>
                <c:pt idx="0">
                  <c:v>113200</c:v>
                </c:pt>
                <c:pt idx="1">
                  <c:v>88000</c:v>
                </c:pt>
              </c:numCache>
            </c:numRef>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[Sales Insights Dashboard.xlsx]Pivot!PivotTable4</c:name>
    <c:fmtId val="2"/>
  </c:pivotSource>
  <c:chart>
    <c:title>
      <c:tx>
        <c:rich>
          <a:bodyPr/>
          <a:lstStyle/>
          <a:p>
            <a:pPr>
              <a:defRPr/>
            </a:pPr>
            <a:r>
              <a:rPr lang="en-IN"/>
              <a:t>Monthly</a:t>
            </a:r>
            <a:r>
              <a:rPr lang="en-IN" baseline="0"/>
              <a:t> sales Trend</a:t>
            </a:r>
            <a:endParaRPr lang="en-IN"/>
          </a:p>
        </c:rich>
      </c:tx>
      <c:layout/>
      <c:overlay val="0"/>
    </c:title>
    <c:autoTitleDeleted val="0"/>
    <c:pivotFmts>
      <c:pivotFmt>
        <c:idx val="0"/>
      </c:pivotFmt>
      <c:pivotFmt>
        <c:idx val="1"/>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lineChart>
        <c:grouping val="stacked"/>
        <c:varyColors val="0"/>
        <c:ser>
          <c:idx val="0"/>
          <c:order val="0"/>
          <c:tx>
            <c:strRef>
              <c:f>Pivot!$B$32</c:f>
              <c:strCache>
                <c:ptCount val="1"/>
                <c:pt idx="0">
                  <c:v>Sum of Sales</c:v>
                </c:pt>
              </c:strCache>
            </c:strRef>
          </c:tx>
          <c:marker>
            <c:symbol val="none"/>
          </c:marker>
          <c:cat>
            <c:strRef>
              <c:f>Pivot!$A$33:$A$37</c:f>
              <c:strCache>
                <c:ptCount val="4"/>
                <c:pt idx="0">
                  <c:v>January</c:v>
                </c:pt>
                <c:pt idx="1">
                  <c:v>February</c:v>
                </c:pt>
                <c:pt idx="2">
                  <c:v>March</c:v>
                </c:pt>
                <c:pt idx="3">
                  <c:v>April</c:v>
                </c:pt>
              </c:strCache>
            </c:strRef>
          </c:cat>
          <c:val>
            <c:numRef>
              <c:f>Pivot!$B$33:$B$37</c:f>
              <c:numCache>
                <c:formatCode>General</c:formatCode>
                <c:ptCount val="4"/>
                <c:pt idx="0">
                  <c:v>214000</c:v>
                </c:pt>
                <c:pt idx="1">
                  <c:v>219500</c:v>
                </c:pt>
                <c:pt idx="2">
                  <c:v>224000</c:v>
                </c:pt>
                <c:pt idx="3">
                  <c:v>227000</c:v>
                </c:pt>
              </c:numCache>
            </c:numRef>
          </c:val>
          <c:smooth val="0"/>
        </c:ser>
        <c:ser>
          <c:idx val="1"/>
          <c:order val="1"/>
          <c:tx>
            <c:strRef>
              <c:f>Pivot!$C$32</c:f>
              <c:strCache>
                <c:ptCount val="1"/>
                <c:pt idx="0">
                  <c:v>Sum of Profit</c:v>
                </c:pt>
              </c:strCache>
            </c:strRef>
          </c:tx>
          <c:marker>
            <c:symbol val="none"/>
          </c:marker>
          <c:cat>
            <c:strRef>
              <c:f>Pivot!$A$33:$A$37</c:f>
              <c:strCache>
                <c:ptCount val="4"/>
                <c:pt idx="0">
                  <c:v>January</c:v>
                </c:pt>
                <c:pt idx="1">
                  <c:v>February</c:v>
                </c:pt>
                <c:pt idx="2">
                  <c:v>March</c:v>
                </c:pt>
                <c:pt idx="3">
                  <c:v>April</c:v>
                </c:pt>
              </c:strCache>
            </c:strRef>
          </c:cat>
          <c:val>
            <c:numRef>
              <c:f>Pivot!$C$33:$C$37</c:f>
              <c:numCache>
                <c:formatCode>General</c:formatCode>
                <c:ptCount val="4"/>
                <c:pt idx="0">
                  <c:v>48300</c:v>
                </c:pt>
                <c:pt idx="1">
                  <c:v>50000</c:v>
                </c:pt>
                <c:pt idx="2">
                  <c:v>51400</c:v>
                </c:pt>
                <c:pt idx="3">
                  <c:v>51500</c:v>
                </c:pt>
              </c:numCache>
            </c:numRef>
          </c:val>
          <c:smooth val="0"/>
        </c:ser>
        <c:dLbls>
          <c:showLegendKey val="0"/>
          <c:showVal val="0"/>
          <c:showCatName val="0"/>
          <c:showSerName val="0"/>
          <c:showPercent val="0"/>
          <c:showBubbleSize val="0"/>
        </c:dLbls>
        <c:marker val="1"/>
        <c:smooth val="0"/>
        <c:axId val="234042496"/>
        <c:axId val="234044032"/>
      </c:lineChart>
      <c:catAx>
        <c:axId val="234042496"/>
        <c:scaling>
          <c:orientation val="minMax"/>
        </c:scaling>
        <c:delete val="0"/>
        <c:axPos val="b"/>
        <c:majorTickMark val="none"/>
        <c:minorTickMark val="none"/>
        <c:tickLblPos val="nextTo"/>
        <c:crossAx val="234044032"/>
        <c:crosses val="autoZero"/>
        <c:auto val="1"/>
        <c:lblAlgn val="ctr"/>
        <c:lblOffset val="100"/>
        <c:noMultiLvlLbl val="0"/>
      </c:catAx>
      <c:valAx>
        <c:axId val="234044032"/>
        <c:scaling>
          <c:orientation val="minMax"/>
        </c:scaling>
        <c:delete val="0"/>
        <c:axPos val="l"/>
        <c:majorGridlines/>
        <c:numFmt formatCode="General" sourceLinked="1"/>
        <c:majorTickMark val="none"/>
        <c:minorTickMark val="none"/>
        <c:tickLblPos val="nextTo"/>
        <c:crossAx val="234042496"/>
        <c:crosses val="autoZero"/>
        <c:crossBetween val="between"/>
      </c:valAx>
    </c:plotArea>
    <c:legend>
      <c:legendPos val="r"/>
      <c:layout/>
      <c:overlay val="0"/>
    </c:legend>
    <c:plotVisOnly val="1"/>
    <c:dispBlanksAs val="zero"/>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514350</xdr:colOff>
      <xdr:row>6</xdr:row>
      <xdr:rowOff>31750</xdr:rowOff>
    </xdr:from>
    <xdr:to>
      <xdr:col>5</xdr:col>
      <xdr:colOff>381000</xdr:colOff>
      <xdr:row>20</xdr:row>
      <xdr:rowOff>158750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368300</xdr:colOff>
      <xdr:row>6</xdr:row>
      <xdr:rowOff>6350</xdr:rowOff>
    </xdr:from>
    <xdr:to>
      <xdr:col>12</xdr:col>
      <xdr:colOff>425450</xdr:colOff>
      <xdr:row>20</xdr:row>
      <xdr:rowOff>158750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24</xdr:row>
      <xdr:rowOff>0</xdr:rowOff>
    </xdr:from>
    <xdr:to>
      <xdr:col>5</xdr:col>
      <xdr:colOff>501650</xdr:colOff>
      <xdr:row>36</xdr:row>
      <xdr:rowOff>6350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444500</xdr:colOff>
      <xdr:row>23</xdr:row>
      <xdr:rowOff>146050</xdr:rowOff>
    </xdr:from>
    <xdr:to>
      <xdr:col>12</xdr:col>
      <xdr:colOff>533400</xdr:colOff>
      <xdr:row>34</xdr:row>
      <xdr:rowOff>152400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39</xdr:row>
      <xdr:rowOff>0</xdr:rowOff>
    </xdr:from>
    <xdr:to>
      <xdr:col>2</xdr:col>
      <xdr:colOff>171450</xdr:colOff>
      <xdr:row>52</xdr:row>
      <xdr:rowOff>130175</xdr:rowOff>
    </xdr:to>
    <mc:AlternateContent xmlns:mc="http://schemas.openxmlformats.org/markup-compatibility/2006" xmlns:a14="http://schemas.microsoft.com/office/drawing/2010/main">
      <mc:Choice Requires="a14">
        <xdr:graphicFrame macro="">
          <xdr:nvGraphicFramePr>
            <xdr:cNvPr id="6"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09600" y="7194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39</xdr:row>
      <xdr:rowOff>0</xdr:rowOff>
    </xdr:from>
    <xdr:to>
      <xdr:col>5</xdr:col>
      <xdr:colOff>400050</xdr:colOff>
      <xdr:row>52</xdr:row>
      <xdr:rowOff>130175</xdr:rowOff>
    </xdr:to>
    <mc:AlternateContent xmlns:mc="http://schemas.openxmlformats.org/markup-compatibility/2006" xmlns:a14="http://schemas.microsoft.com/office/drawing/2010/main">
      <mc:Choice Requires="a14">
        <xdr:graphicFrame macro="">
          <xdr:nvGraphicFramePr>
            <xdr:cNvPr id="7"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876550" y="7194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0</xdr:colOff>
      <xdr:row>39</xdr:row>
      <xdr:rowOff>0</xdr:rowOff>
    </xdr:from>
    <xdr:to>
      <xdr:col>9</xdr:col>
      <xdr:colOff>336550</xdr:colOff>
      <xdr:row>52</xdr:row>
      <xdr:rowOff>130175</xdr:rowOff>
    </xdr:to>
    <mc:AlternateContent xmlns:mc="http://schemas.openxmlformats.org/markup-compatibility/2006" xmlns:a14="http://schemas.microsoft.com/office/drawing/2010/main">
      <mc:Choice Requires="a14">
        <xdr:graphicFrame macro="">
          <xdr:nvGraphicFramePr>
            <xdr:cNvPr id="8"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734050" y="7194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Nitesh Agarwal" refreshedDate="46104.613205092595" createdVersion="4" refreshedVersion="4" minRefreshableVersion="3" recordCount="40">
  <cacheSource type="worksheet">
    <worksheetSource name="Table24"/>
  </cacheSource>
  <cacheFields count="10">
    <cacheField name="Order Date" numFmtId="14">
      <sharedItems containsSemiMixedTypes="0" containsNonDate="0" containsDate="1" containsString="0" minDate="2025-01-03T00:00:00" maxDate="2025-04-21T00:00:00"/>
    </cacheField>
    <cacheField name="Region" numFmtId="0">
      <sharedItems count="4">
        <s v="North"/>
        <s v="South"/>
        <s v="East"/>
        <s v="West"/>
      </sharedItems>
    </cacheField>
    <cacheField name="Product" numFmtId="0">
      <sharedItems count="10">
        <s v="Laptop"/>
        <s v="Chair"/>
        <s v="Mobile"/>
        <s v="Table"/>
        <s v="Headphones"/>
        <s v="Sofa"/>
        <s v="Printer"/>
        <s v="Bookshelf"/>
        <s v="Tablet"/>
        <s v="Desk"/>
      </sharedItems>
    </cacheField>
    <cacheField name="Category" numFmtId="0">
      <sharedItems count="2">
        <s v="Electronics"/>
        <s v="Furniture"/>
      </sharedItems>
    </cacheField>
    <cacheField name="Sales" numFmtId="0">
      <sharedItems containsSemiMixedTypes="0" containsString="0" containsNumber="1" containsInteger="1" minValue="7000" maxValue="62000"/>
    </cacheField>
    <cacheField name="Cost" numFmtId="0">
      <sharedItems containsSemiMixedTypes="0" containsString="0" containsNumber="1" containsInteger="1" minValue="4200" maxValue="52000"/>
    </cacheField>
    <cacheField name="Quantity" numFmtId="0">
      <sharedItems containsSemiMixedTypes="0" containsString="0" containsNumber="1" containsInteger="1" minValue="1" maxValue="6"/>
    </cacheField>
    <cacheField name="Profit" numFmtId="0">
      <sharedItems containsSemiMixedTypes="0" containsString="0" containsNumber="1" containsInteger="1" minValue="2800" maxValue="10000"/>
    </cacheField>
    <cacheField name="Month Name" numFmtId="0">
      <sharedItems count="4">
        <s v="January"/>
        <s v="February"/>
        <s v="March"/>
        <s v="April"/>
      </sharedItems>
    </cacheField>
    <cacheField name="Month no."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40">
  <r>
    <d v="2025-01-03T00:00:00"/>
    <x v="0"/>
    <x v="0"/>
    <x v="0"/>
    <n v="55000"/>
    <n v="47000"/>
    <n v="2"/>
    <n v="8000"/>
    <x v="0"/>
    <s v="1"/>
  </r>
  <r>
    <d v="2025-01-05T00:00:00"/>
    <x v="1"/>
    <x v="1"/>
    <x v="1"/>
    <n v="12000"/>
    <n v="8500"/>
    <n v="4"/>
    <n v="3500"/>
    <x v="0"/>
    <s v="1"/>
  </r>
  <r>
    <d v="2025-01-07T00:00:00"/>
    <x v="2"/>
    <x v="2"/>
    <x v="0"/>
    <n v="30000"/>
    <n v="24000"/>
    <n v="3"/>
    <n v="6000"/>
    <x v="0"/>
    <s v="1"/>
  </r>
  <r>
    <d v="2025-01-09T00:00:00"/>
    <x v="3"/>
    <x v="3"/>
    <x v="1"/>
    <n v="18000"/>
    <n v="13000"/>
    <n v="2"/>
    <n v="5000"/>
    <x v="0"/>
    <s v="1"/>
  </r>
  <r>
    <d v="2025-01-11T00:00:00"/>
    <x v="0"/>
    <x v="4"/>
    <x v="0"/>
    <n v="7000"/>
    <n v="4200"/>
    <n v="5"/>
    <n v="2800"/>
    <x v="0"/>
    <s v="1"/>
  </r>
  <r>
    <d v="2025-01-13T00:00:00"/>
    <x v="1"/>
    <x v="5"/>
    <x v="1"/>
    <n v="25000"/>
    <n v="19000"/>
    <n v="1"/>
    <n v="6000"/>
    <x v="0"/>
    <s v="1"/>
  </r>
  <r>
    <d v="2025-01-15T00:00:00"/>
    <x v="2"/>
    <x v="6"/>
    <x v="0"/>
    <n v="15000"/>
    <n v="11000"/>
    <n v="2"/>
    <n v="4000"/>
    <x v="0"/>
    <s v="1"/>
  </r>
  <r>
    <d v="2025-01-18T00:00:00"/>
    <x v="3"/>
    <x v="7"/>
    <x v="1"/>
    <n v="14000"/>
    <n v="10000"/>
    <n v="2"/>
    <n v="4000"/>
    <x v="0"/>
    <s v="1"/>
  </r>
  <r>
    <d v="2025-01-21T00:00:00"/>
    <x v="0"/>
    <x v="8"/>
    <x v="0"/>
    <n v="22000"/>
    <n v="17000"/>
    <n v="2"/>
    <n v="5000"/>
    <x v="0"/>
    <s v="1"/>
  </r>
  <r>
    <d v="2025-01-24T00:00:00"/>
    <x v="1"/>
    <x v="9"/>
    <x v="1"/>
    <n v="16000"/>
    <n v="12000"/>
    <n v="2"/>
    <n v="4000"/>
    <x v="0"/>
    <s v="1"/>
  </r>
  <r>
    <d v="2025-02-02T00:00:00"/>
    <x v="2"/>
    <x v="0"/>
    <x v="0"/>
    <n v="60000"/>
    <n v="50000"/>
    <n v="2"/>
    <n v="10000"/>
    <x v="1"/>
    <s v="2"/>
  </r>
  <r>
    <d v="2025-02-04T00:00:00"/>
    <x v="3"/>
    <x v="1"/>
    <x v="1"/>
    <n v="10000"/>
    <n v="7200"/>
    <n v="3"/>
    <n v="2800"/>
    <x v="1"/>
    <s v="2"/>
  </r>
  <r>
    <d v="2025-02-06T00:00:00"/>
    <x v="0"/>
    <x v="2"/>
    <x v="0"/>
    <n v="28000"/>
    <n v="22000"/>
    <n v="2"/>
    <n v="6000"/>
    <x v="1"/>
    <s v="2"/>
  </r>
  <r>
    <d v="2025-02-08T00:00:00"/>
    <x v="1"/>
    <x v="3"/>
    <x v="1"/>
    <n v="17000"/>
    <n v="12500"/>
    <n v="2"/>
    <n v="4500"/>
    <x v="1"/>
    <s v="2"/>
  </r>
  <r>
    <d v="2025-02-10T00:00:00"/>
    <x v="2"/>
    <x v="4"/>
    <x v="0"/>
    <n v="9000"/>
    <n v="5000"/>
    <n v="6"/>
    <n v="4000"/>
    <x v="1"/>
    <s v="2"/>
  </r>
  <r>
    <d v="2025-02-12T00:00:00"/>
    <x v="3"/>
    <x v="5"/>
    <x v="1"/>
    <n v="27000"/>
    <n v="21000"/>
    <n v="1"/>
    <n v="6000"/>
    <x v="1"/>
    <s v="2"/>
  </r>
  <r>
    <d v="2025-02-14T00:00:00"/>
    <x v="0"/>
    <x v="6"/>
    <x v="0"/>
    <n v="14000"/>
    <n v="10500"/>
    <n v="2"/>
    <n v="3500"/>
    <x v="1"/>
    <s v="2"/>
  </r>
  <r>
    <d v="2025-02-16T00:00:00"/>
    <x v="1"/>
    <x v="7"/>
    <x v="1"/>
    <n v="15000"/>
    <n v="11000"/>
    <n v="2"/>
    <n v="4000"/>
    <x v="1"/>
    <s v="2"/>
  </r>
  <r>
    <d v="2025-02-18T00:00:00"/>
    <x v="2"/>
    <x v="8"/>
    <x v="0"/>
    <n v="24000"/>
    <n v="18500"/>
    <n v="2"/>
    <n v="5500"/>
    <x v="1"/>
    <s v="2"/>
  </r>
  <r>
    <d v="2025-02-20T00:00:00"/>
    <x v="3"/>
    <x v="9"/>
    <x v="1"/>
    <n v="15500"/>
    <n v="11800"/>
    <n v="2"/>
    <n v="3700"/>
    <x v="1"/>
    <s v="2"/>
  </r>
  <r>
    <d v="2025-03-01T00:00:00"/>
    <x v="0"/>
    <x v="0"/>
    <x v="0"/>
    <n v="58000"/>
    <n v="49000"/>
    <n v="2"/>
    <n v="9000"/>
    <x v="2"/>
    <s v="3"/>
  </r>
  <r>
    <d v="2025-03-03T00:00:00"/>
    <x v="1"/>
    <x v="1"/>
    <x v="1"/>
    <n v="11000"/>
    <n v="7900"/>
    <n v="4"/>
    <n v="3100"/>
    <x v="2"/>
    <s v="3"/>
  </r>
  <r>
    <d v="2025-03-05T00:00:00"/>
    <x v="2"/>
    <x v="2"/>
    <x v="0"/>
    <n v="32000"/>
    <n v="25500"/>
    <n v="3"/>
    <n v="6500"/>
    <x v="2"/>
    <s v="3"/>
  </r>
  <r>
    <d v="2025-03-07T00:00:00"/>
    <x v="3"/>
    <x v="3"/>
    <x v="1"/>
    <n v="19000"/>
    <n v="13800"/>
    <n v="2"/>
    <n v="5200"/>
    <x v="2"/>
    <s v="3"/>
  </r>
  <r>
    <d v="2025-03-09T00:00:00"/>
    <x v="0"/>
    <x v="4"/>
    <x v="0"/>
    <n v="8500"/>
    <n v="5100"/>
    <n v="5"/>
    <n v="3400"/>
    <x v="2"/>
    <s v="3"/>
  </r>
  <r>
    <d v="2025-03-11T00:00:00"/>
    <x v="1"/>
    <x v="5"/>
    <x v="1"/>
    <n v="26000"/>
    <n v="19800"/>
    <n v="1"/>
    <n v="6200"/>
    <x v="2"/>
    <s v="3"/>
  </r>
  <r>
    <d v="2025-03-13T00:00:00"/>
    <x v="2"/>
    <x v="6"/>
    <x v="0"/>
    <n v="15500"/>
    <n v="11200"/>
    <n v="2"/>
    <n v="4300"/>
    <x v="2"/>
    <s v="3"/>
  </r>
  <r>
    <d v="2025-03-15T00:00:00"/>
    <x v="3"/>
    <x v="7"/>
    <x v="1"/>
    <n v="14500"/>
    <n v="10300"/>
    <n v="2"/>
    <n v="4200"/>
    <x v="2"/>
    <s v="3"/>
  </r>
  <r>
    <d v="2025-03-17T00:00:00"/>
    <x v="0"/>
    <x v="8"/>
    <x v="0"/>
    <n v="23000"/>
    <n v="17600"/>
    <n v="2"/>
    <n v="5400"/>
    <x v="2"/>
    <s v="3"/>
  </r>
  <r>
    <d v="2025-03-19T00:00:00"/>
    <x v="1"/>
    <x v="9"/>
    <x v="1"/>
    <n v="16500"/>
    <n v="12400"/>
    <n v="2"/>
    <n v="4100"/>
    <x v="2"/>
    <s v="3"/>
  </r>
  <r>
    <d v="2025-04-02T00:00:00"/>
    <x v="2"/>
    <x v="0"/>
    <x v="0"/>
    <n v="62000"/>
    <n v="52000"/>
    <n v="2"/>
    <n v="10000"/>
    <x v="3"/>
    <s v="4"/>
  </r>
  <r>
    <d v="2025-04-04T00:00:00"/>
    <x v="3"/>
    <x v="1"/>
    <x v="1"/>
    <n v="10500"/>
    <n v="7600"/>
    <n v="3"/>
    <n v="2900"/>
    <x v="3"/>
    <s v="4"/>
  </r>
  <r>
    <d v="2025-04-06T00:00:00"/>
    <x v="0"/>
    <x v="2"/>
    <x v="0"/>
    <n v="29500"/>
    <n v="23000"/>
    <n v="2"/>
    <n v="6500"/>
    <x v="3"/>
    <s v="4"/>
  </r>
  <r>
    <d v="2025-04-08T00:00:00"/>
    <x v="1"/>
    <x v="3"/>
    <x v="1"/>
    <n v="17500"/>
    <n v="12800"/>
    <n v="2"/>
    <n v="4700"/>
    <x v="3"/>
    <s v="4"/>
  </r>
  <r>
    <d v="2025-04-10T00:00:00"/>
    <x v="2"/>
    <x v="4"/>
    <x v="0"/>
    <n v="9500"/>
    <n v="5600"/>
    <n v="6"/>
    <n v="3900"/>
    <x v="3"/>
    <s v="4"/>
  </r>
  <r>
    <d v="2025-04-12T00:00:00"/>
    <x v="3"/>
    <x v="5"/>
    <x v="1"/>
    <n v="28000"/>
    <n v="21800"/>
    <n v="1"/>
    <n v="6200"/>
    <x v="3"/>
    <s v="4"/>
  </r>
  <r>
    <d v="2025-04-14T00:00:00"/>
    <x v="0"/>
    <x v="6"/>
    <x v="0"/>
    <n v="14500"/>
    <n v="10800"/>
    <n v="2"/>
    <n v="3700"/>
    <x v="3"/>
    <s v="4"/>
  </r>
  <r>
    <d v="2025-04-16T00:00:00"/>
    <x v="1"/>
    <x v="7"/>
    <x v="1"/>
    <n v="15200"/>
    <n v="11200"/>
    <n v="2"/>
    <n v="4000"/>
    <x v="3"/>
    <s v="4"/>
  </r>
  <r>
    <d v="2025-04-18T00:00:00"/>
    <x v="2"/>
    <x v="8"/>
    <x v="0"/>
    <n v="24500"/>
    <n v="18800"/>
    <n v="2"/>
    <n v="5700"/>
    <x v="3"/>
    <s v="4"/>
  </r>
  <r>
    <d v="2025-04-20T00:00:00"/>
    <x v="3"/>
    <x v="9"/>
    <x v="1"/>
    <n v="15800"/>
    <n v="11900"/>
    <n v="2"/>
    <n v="3900"/>
    <x v="3"/>
    <s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rowHeaderCaption="Region-wise">
  <location ref="A3:C8" firstHeaderRow="0" firstDataRow="1" firstDataCol="1"/>
  <pivotFields count="10">
    <pivotField numFmtId="14" showAll="0"/>
    <pivotField axis="axisRow" showAll="0">
      <items count="5">
        <item x="2"/>
        <item x="0"/>
        <item x="1"/>
        <item x="3"/>
        <item t="default"/>
      </items>
    </pivotField>
    <pivotField showAll="0">
      <items count="11">
        <item x="7"/>
        <item x="1"/>
        <item x="9"/>
        <item x="4"/>
        <item x="0"/>
        <item x="2"/>
        <item x="6"/>
        <item x="5"/>
        <item x="3"/>
        <item x="8"/>
        <item t="default"/>
      </items>
    </pivotField>
    <pivotField showAll="0">
      <items count="3">
        <item x="0"/>
        <item x="1"/>
        <item t="default"/>
      </items>
    </pivotField>
    <pivotField dataField="1" showAll="0"/>
    <pivotField showAll="0"/>
    <pivotField showAll="0"/>
    <pivotField dataField="1" showAll="0"/>
    <pivotField showAll="0"/>
    <pivotField showAll="0"/>
  </pivotFields>
  <rowFields count="1">
    <field x="1"/>
  </rowFields>
  <rowItems count="5">
    <i>
      <x/>
    </i>
    <i>
      <x v="1"/>
    </i>
    <i>
      <x v="2"/>
    </i>
    <i>
      <x v="3"/>
    </i>
    <i t="grand">
      <x/>
    </i>
  </rowItems>
  <colFields count="1">
    <field x="-2"/>
  </colFields>
  <colItems count="2">
    <i>
      <x/>
    </i>
    <i i="1">
      <x v="1"/>
    </i>
  </colItems>
  <dataFields count="2">
    <dataField name="Sum of Sales" fld="4" baseField="0" baseItem="0"/>
    <dataField name="Sum of Profit" fld="7" baseField="0" baseItem="0"/>
  </dataFields>
  <chartFormats count="4">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 count="1" selected="0">
            <x v="3"/>
          </reference>
        </references>
      </pivotArea>
    </chartFormat>
    <chartFormat chart="2" format="10" series="1">
      <pivotArea type="data" outline="0" fieldPosition="0">
        <references count="1">
          <reference field="4294967294" count="1" selected="0">
            <x v="1"/>
          </reference>
        </references>
      </pivotArea>
    </chartFormat>
    <chartFormat chart="2" format="11">
      <pivotArea type="data" outline="0" fieldPosition="0">
        <references count="2">
          <reference field="4294967294" count="1" selected="0">
            <x v="1"/>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rowHeaderCaption="month wise">
  <location ref="A32:C37" firstHeaderRow="0" firstDataRow="1" firstDataCol="1"/>
  <pivotFields count="10">
    <pivotField numFmtId="14" showAll="0"/>
    <pivotField showAll="0">
      <items count="5">
        <item x="2"/>
        <item x="0"/>
        <item x="1"/>
        <item x="3"/>
        <item t="default"/>
      </items>
    </pivotField>
    <pivotField showAll="0">
      <items count="11">
        <item x="7"/>
        <item x="1"/>
        <item x="9"/>
        <item x="4"/>
        <item x="0"/>
        <item x="2"/>
        <item x="6"/>
        <item x="5"/>
        <item x="3"/>
        <item x="8"/>
        <item t="default"/>
      </items>
    </pivotField>
    <pivotField showAll="0">
      <items count="3">
        <item x="0"/>
        <item x="1"/>
        <item t="default"/>
      </items>
    </pivotField>
    <pivotField dataField="1" showAll="0"/>
    <pivotField showAll="0"/>
    <pivotField showAll="0"/>
    <pivotField dataField="1" showAll="0"/>
    <pivotField axis="axisRow" showAll="0">
      <items count="5">
        <item x="0"/>
        <item x="1"/>
        <item x="2"/>
        <item x="3"/>
        <item t="default"/>
      </items>
    </pivotField>
    <pivotField showAll="0"/>
  </pivotFields>
  <rowFields count="1">
    <field x="8"/>
  </rowFields>
  <rowItems count="5">
    <i>
      <x/>
    </i>
    <i>
      <x v="1"/>
    </i>
    <i>
      <x v="2"/>
    </i>
    <i>
      <x v="3"/>
    </i>
    <i t="grand">
      <x/>
    </i>
  </rowItems>
  <colFields count="1">
    <field x="-2"/>
  </colFields>
  <colItems count="2">
    <i>
      <x/>
    </i>
    <i i="1">
      <x v="1"/>
    </i>
  </colItems>
  <dataFields count="2">
    <dataField name="Sum of Sales" fld="4" baseField="0" baseItem="0"/>
    <dataField name="Sum of Profit" fld="7"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rowHeaderCaption="Category-wise">
  <location ref="A25:C28" firstHeaderRow="0" firstDataRow="1" firstDataCol="1"/>
  <pivotFields count="10">
    <pivotField numFmtId="14" showAll="0"/>
    <pivotField showAll="0">
      <items count="5">
        <item x="2"/>
        <item x="0"/>
        <item x="1"/>
        <item x="3"/>
        <item t="default"/>
      </items>
    </pivotField>
    <pivotField showAll="0">
      <items count="11">
        <item x="7"/>
        <item x="1"/>
        <item x="9"/>
        <item x="4"/>
        <item x="0"/>
        <item x="2"/>
        <item x="6"/>
        <item x="5"/>
        <item x="3"/>
        <item x="8"/>
        <item t="default"/>
      </items>
    </pivotField>
    <pivotField axis="axisRow" showAll="0">
      <items count="3">
        <item x="0"/>
        <item x="1"/>
        <item t="default"/>
      </items>
    </pivotField>
    <pivotField dataField="1" showAll="0"/>
    <pivotField showAll="0"/>
    <pivotField showAll="0"/>
    <pivotField dataField="1" showAll="0"/>
    <pivotField showAll="0"/>
    <pivotField showAll="0"/>
  </pivotFields>
  <rowFields count="1">
    <field x="3"/>
  </rowFields>
  <rowItems count="3">
    <i>
      <x/>
    </i>
    <i>
      <x v="1"/>
    </i>
    <i t="grand">
      <x/>
    </i>
  </rowItems>
  <colFields count="1">
    <field x="-2"/>
  </colFields>
  <colItems count="2">
    <i>
      <x/>
    </i>
    <i i="1">
      <x v="1"/>
    </i>
  </colItems>
  <dataFields count="2">
    <dataField name="Sum of Sales" fld="4" baseField="0" baseItem="0"/>
    <dataField name="Sum of Profit" fld="7" baseField="0" baseItem="0"/>
  </dataFields>
  <chartFormats count="4">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rowHeaderCaption="Product wise">
  <location ref="A11:C22" firstHeaderRow="0" firstDataRow="1" firstDataCol="1"/>
  <pivotFields count="10">
    <pivotField numFmtId="14" showAll="0"/>
    <pivotField showAll="0">
      <items count="5">
        <item x="2"/>
        <item x="0"/>
        <item x="1"/>
        <item x="3"/>
        <item t="default"/>
      </items>
    </pivotField>
    <pivotField axis="axisRow" showAll="0">
      <items count="11">
        <item x="7"/>
        <item x="1"/>
        <item x="9"/>
        <item x="4"/>
        <item x="0"/>
        <item x="2"/>
        <item x="6"/>
        <item x="5"/>
        <item x="3"/>
        <item x="8"/>
        <item t="default"/>
      </items>
    </pivotField>
    <pivotField showAll="0">
      <items count="3">
        <item x="0"/>
        <item x="1"/>
        <item t="default"/>
      </items>
    </pivotField>
    <pivotField dataField="1" showAll="0"/>
    <pivotField showAll="0"/>
    <pivotField showAll="0"/>
    <pivotField dataField="1" showAll="0"/>
    <pivotField showAll="0"/>
    <pivotField showAll="0"/>
  </pivotFields>
  <rowFields count="1">
    <field x="2"/>
  </rowFields>
  <rowItems count="11">
    <i>
      <x/>
    </i>
    <i>
      <x v="1"/>
    </i>
    <i>
      <x v="2"/>
    </i>
    <i>
      <x v="3"/>
    </i>
    <i>
      <x v="4"/>
    </i>
    <i>
      <x v="5"/>
    </i>
    <i>
      <x v="6"/>
    </i>
    <i>
      <x v="7"/>
    </i>
    <i>
      <x v="8"/>
    </i>
    <i>
      <x v="9"/>
    </i>
    <i t="grand">
      <x/>
    </i>
  </rowItems>
  <colFields count="1">
    <field x="-2"/>
  </colFields>
  <colItems count="2">
    <i>
      <x/>
    </i>
    <i i="1">
      <x v="1"/>
    </i>
  </colItems>
  <dataFields count="2">
    <dataField name="Sum of Sales" fld="4" baseField="0" baseItem="0"/>
    <dataField name="Sum of Profit" fld="7"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9"/>
          </reference>
        </references>
      </pivotArea>
    </chartFormat>
    <chartFormat chart="0" format="3">
      <pivotArea type="data" outline="0" fieldPosition="0">
        <references count="2">
          <reference field="4294967294" count="1" selected="0">
            <x v="1"/>
          </reference>
          <reference field="2" count="1" selected="0">
            <x v="9"/>
          </reference>
        </references>
      </pivotArea>
    </chartFormat>
    <chartFormat chart="1" format="4"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4" name="PivotTable1"/>
    <pivotTable tabId="4" name="PivotTable2"/>
    <pivotTable tabId="4" name="PivotTable3"/>
    <pivotTable tabId="4" name="PivotTable4"/>
  </pivotTables>
  <data>
    <tabular pivotCacheId="1">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4" name="PivotTable1"/>
    <pivotTable tabId="4" name="PivotTable2"/>
    <pivotTable tabId="4" name="PivotTable3"/>
    <pivotTable tabId="4" name="PivotTable4"/>
  </pivotTables>
  <data>
    <tabular pivotCacheId="1">
      <items count="10">
        <i x="7" s="1"/>
        <i x="1" s="1"/>
        <i x="9" s="1"/>
        <i x="4" s="1"/>
        <i x="0" s="1"/>
        <i x="2" s="1"/>
        <i x="6" s="1"/>
        <i x="5" s="1"/>
        <i x="3"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4" name="PivotTable1"/>
    <pivotTable tabId="4" name="PivotTable2"/>
    <pivotTable tabId="4" name="PivotTable3"/>
    <pivotTable tabId="4" name="PivotTable4"/>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Product" cache="Slicer_Product" caption="Product" rowHeight="241300"/>
  <slicer name="Category" cache="Slicer_Category" caption="Category" rowHeight="241300"/>
</slicers>
</file>

<file path=xl/tables/table1.xml><?xml version="1.0" encoding="utf-8"?>
<table xmlns="http://schemas.openxmlformats.org/spreadsheetml/2006/main" id="2" name="Table2" displayName="Table2" ref="A1:J41" totalsRowShown="0" headerRowDxfId="7">
  <autoFilter ref="A1:J41"/>
  <tableColumns count="10">
    <tableColumn id="1" name="Order Date" dataDxfId="6"/>
    <tableColumn id="2" name="Region"/>
    <tableColumn id="3" name="Product"/>
    <tableColumn id="4" name="Category"/>
    <tableColumn id="5" name="Sales"/>
    <tableColumn id="6" name="Cost"/>
    <tableColumn id="7" name="Quantity"/>
    <tableColumn id="8" name="Profit">
      <calculatedColumnFormula>E2-F2</calculatedColumnFormula>
    </tableColumn>
    <tableColumn id="9" name="Month Name" dataDxfId="5">
      <calculatedColumnFormula>TEXT(A2,"mmmm")</calculatedColumnFormula>
    </tableColumn>
    <tableColumn id="10" name="Month no." dataDxfId="4">
      <calculatedColumnFormula>TEXT(Table2[[#This Row],[Order Date]],"m")</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3" name="Table24" displayName="Table24" ref="A1:J41" totalsRowShown="0" headerRowDxfId="3">
  <autoFilter ref="A1:J41"/>
  <tableColumns count="10">
    <tableColumn id="1" name="Order Date" dataDxfId="2"/>
    <tableColumn id="2" name="Region"/>
    <tableColumn id="3" name="Product"/>
    <tableColumn id="4" name="Category"/>
    <tableColumn id="5" name="Sales"/>
    <tableColumn id="6" name="Cost"/>
    <tableColumn id="7" name="Quantity"/>
    <tableColumn id="8" name="Profit">
      <calculatedColumnFormula>E2-F2</calculatedColumnFormula>
    </tableColumn>
    <tableColumn id="9" name="Month Name" dataDxfId="1">
      <calculatedColumnFormula>TEXT(A2,"mmmm")</calculatedColumnFormula>
    </tableColumn>
    <tableColumn id="10" name="Month no." dataDxfId="0">
      <calculatedColumnFormula>TEXT(Table24[[#This Row],[Order Date]],"m")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2"/>
  <sheetViews>
    <sheetView topLeftCell="A31" workbookViewId="0">
      <selection activeCell="H42" sqref="H42"/>
    </sheetView>
  </sheetViews>
  <sheetFormatPr defaultRowHeight="14.5" x14ac:dyDescent="0.35"/>
  <cols>
    <col min="1" max="1" width="12.1796875" customWidth="1"/>
    <col min="3" max="3" width="11.36328125" bestFit="1" customWidth="1"/>
    <col min="4" max="4" width="10.26953125" customWidth="1"/>
    <col min="7" max="7" width="10.1796875" customWidth="1"/>
    <col min="9" max="9" width="16.453125" bestFit="1" customWidth="1"/>
    <col min="10" max="10" width="14.26953125" bestFit="1" customWidth="1"/>
  </cols>
  <sheetData>
    <row r="1" spans="1:10" s="3" customFormat="1" x14ac:dyDescent="0.35">
      <c r="A1" s="2" t="s">
        <v>0</v>
      </c>
      <c r="B1" s="4" t="s">
        <v>1</v>
      </c>
      <c r="C1" s="4" t="s">
        <v>2</v>
      </c>
      <c r="D1" s="4" t="s">
        <v>3</v>
      </c>
      <c r="E1" s="2" t="s">
        <v>4</v>
      </c>
      <c r="F1" s="2" t="s">
        <v>5</v>
      </c>
      <c r="G1" s="2" t="s">
        <v>6</v>
      </c>
      <c r="H1" s="2" t="s">
        <v>23</v>
      </c>
      <c r="I1" s="2" t="s">
        <v>24</v>
      </c>
      <c r="J1" s="2" t="s">
        <v>25</v>
      </c>
    </row>
    <row r="2" spans="1:10" x14ac:dyDescent="0.35">
      <c r="A2" s="1">
        <v>45660</v>
      </c>
      <c r="B2" t="s">
        <v>7</v>
      </c>
      <c r="C2" t="s">
        <v>8</v>
      </c>
      <c r="D2" t="s">
        <v>9</v>
      </c>
      <c r="E2">
        <v>55000</v>
      </c>
      <c r="F2">
        <v>47000</v>
      </c>
      <c r="G2">
        <v>2</v>
      </c>
      <c r="H2">
        <f>E2-F2</f>
        <v>8000</v>
      </c>
      <c r="I2" t="str">
        <f t="shared" ref="I2:I41" si="0">TEXT(A2,"mmmm")</f>
        <v>January</v>
      </c>
      <c r="J2" t="str">
        <f>TEXT(Table2[[#This Row],[Order Date]],"m")</f>
        <v>1</v>
      </c>
    </row>
    <row r="3" spans="1:10" x14ac:dyDescent="0.35">
      <c r="A3" s="1">
        <v>45662</v>
      </c>
      <c r="B3" t="s">
        <v>10</v>
      </c>
      <c r="C3" t="s">
        <v>11</v>
      </c>
      <c r="D3" t="s">
        <v>12</v>
      </c>
      <c r="E3">
        <v>12000</v>
      </c>
      <c r="F3">
        <v>8500</v>
      </c>
      <c r="G3">
        <v>4</v>
      </c>
      <c r="H3">
        <f t="shared" ref="H3:H41" si="1">E3-F3</f>
        <v>3500</v>
      </c>
      <c r="I3" t="str">
        <f t="shared" si="0"/>
        <v>January</v>
      </c>
      <c r="J3" t="str">
        <f>TEXT(Table2[[#This Row],[Order Date]],"m")</f>
        <v>1</v>
      </c>
    </row>
    <row r="4" spans="1:10" x14ac:dyDescent="0.35">
      <c r="A4" s="1">
        <v>45664</v>
      </c>
      <c r="B4" t="s">
        <v>13</v>
      </c>
      <c r="C4" t="s">
        <v>14</v>
      </c>
      <c r="D4" t="s">
        <v>9</v>
      </c>
      <c r="E4">
        <v>30000</v>
      </c>
      <c r="F4">
        <v>24000</v>
      </c>
      <c r="G4">
        <v>3</v>
      </c>
      <c r="H4">
        <f t="shared" si="1"/>
        <v>6000</v>
      </c>
      <c r="I4" t="str">
        <f t="shared" si="0"/>
        <v>January</v>
      </c>
      <c r="J4" t="str">
        <f>TEXT(Table2[[#This Row],[Order Date]],"m")</f>
        <v>1</v>
      </c>
    </row>
    <row r="5" spans="1:10" x14ac:dyDescent="0.35">
      <c r="A5" s="1">
        <v>45666</v>
      </c>
      <c r="B5" t="s">
        <v>15</v>
      </c>
      <c r="C5" t="s">
        <v>16</v>
      </c>
      <c r="D5" t="s">
        <v>12</v>
      </c>
      <c r="E5">
        <v>18000</v>
      </c>
      <c r="F5">
        <v>13000</v>
      </c>
      <c r="G5">
        <v>2</v>
      </c>
      <c r="H5">
        <f t="shared" si="1"/>
        <v>5000</v>
      </c>
      <c r="I5" t="str">
        <f t="shared" si="0"/>
        <v>January</v>
      </c>
      <c r="J5" t="str">
        <f>TEXT(Table2[[#This Row],[Order Date]],"m")</f>
        <v>1</v>
      </c>
    </row>
    <row r="6" spans="1:10" x14ac:dyDescent="0.35">
      <c r="A6" s="1">
        <v>45668</v>
      </c>
      <c r="B6" t="s">
        <v>7</v>
      </c>
      <c r="C6" t="s">
        <v>17</v>
      </c>
      <c r="D6" t="s">
        <v>9</v>
      </c>
      <c r="E6">
        <v>7000</v>
      </c>
      <c r="F6">
        <v>4200</v>
      </c>
      <c r="G6">
        <v>5</v>
      </c>
      <c r="H6">
        <f t="shared" si="1"/>
        <v>2800</v>
      </c>
      <c r="I6" t="str">
        <f t="shared" si="0"/>
        <v>January</v>
      </c>
      <c r="J6" t="str">
        <f>TEXT(Table2[[#This Row],[Order Date]],"m")</f>
        <v>1</v>
      </c>
    </row>
    <row r="7" spans="1:10" x14ac:dyDescent="0.35">
      <c r="A7" s="1">
        <v>45670</v>
      </c>
      <c r="B7" t="s">
        <v>10</v>
      </c>
      <c r="C7" t="s">
        <v>18</v>
      </c>
      <c r="D7" t="s">
        <v>12</v>
      </c>
      <c r="E7">
        <v>25000</v>
      </c>
      <c r="F7">
        <v>19000</v>
      </c>
      <c r="G7">
        <v>1</v>
      </c>
      <c r="H7">
        <f t="shared" si="1"/>
        <v>6000</v>
      </c>
      <c r="I7" t="str">
        <f t="shared" si="0"/>
        <v>January</v>
      </c>
      <c r="J7" t="str">
        <f>TEXT(Table2[[#This Row],[Order Date]],"m")</f>
        <v>1</v>
      </c>
    </row>
    <row r="8" spans="1:10" x14ac:dyDescent="0.35">
      <c r="A8" s="1">
        <v>45672</v>
      </c>
      <c r="B8" t="s">
        <v>13</v>
      </c>
      <c r="C8" t="s">
        <v>19</v>
      </c>
      <c r="D8" t="s">
        <v>9</v>
      </c>
      <c r="E8">
        <v>15000</v>
      </c>
      <c r="F8">
        <v>11000</v>
      </c>
      <c r="G8">
        <v>2</v>
      </c>
      <c r="H8">
        <f t="shared" si="1"/>
        <v>4000</v>
      </c>
      <c r="I8" t="str">
        <f t="shared" si="0"/>
        <v>January</v>
      </c>
      <c r="J8" t="str">
        <f>TEXT(Table2[[#This Row],[Order Date]],"m")</f>
        <v>1</v>
      </c>
    </row>
    <row r="9" spans="1:10" x14ac:dyDescent="0.35">
      <c r="A9" s="1">
        <v>45675</v>
      </c>
      <c r="B9" t="s">
        <v>15</v>
      </c>
      <c r="C9" t="s">
        <v>20</v>
      </c>
      <c r="D9" t="s">
        <v>12</v>
      </c>
      <c r="E9">
        <v>14000</v>
      </c>
      <c r="F9">
        <v>10000</v>
      </c>
      <c r="G9">
        <v>2</v>
      </c>
      <c r="H9">
        <f t="shared" si="1"/>
        <v>4000</v>
      </c>
      <c r="I9" t="str">
        <f t="shared" si="0"/>
        <v>January</v>
      </c>
      <c r="J9" t="str">
        <f>TEXT(Table2[[#This Row],[Order Date]],"m")</f>
        <v>1</v>
      </c>
    </row>
    <row r="10" spans="1:10" x14ac:dyDescent="0.35">
      <c r="A10" s="1">
        <v>45678</v>
      </c>
      <c r="B10" t="s">
        <v>7</v>
      </c>
      <c r="C10" t="s">
        <v>21</v>
      </c>
      <c r="D10" t="s">
        <v>9</v>
      </c>
      <c r="E10">
        <v>22000</v>
      </c>
      <c r="F10">
        <v>17000</v>
      </c>
      <c r="G10">
        <v>2</v>
      </c>
      <c r="H10">
        <f t="shared" si="1"/>
        <v>5000</v>
      </c>
      <c r="I10" t="str">
        <f t="shared" si="0"/>
        <v>January</v>
      </c>
      <c r="J10" t="str">
        <f>TEXT(Table2[[#This Row],[Order Date]],"m")</f>
        <v>1</v>
      </c>
    </row>
    <row r="11" spans="1:10" x14ac:dyDescent="0.35">
      <c r="A11" s="1">
        <v>45681</v>
      </c>
      <c r="B11" t="s">
        <v>10</v>
      </c>
      <c r="C11" t="s">
        <v>22</v>
      </c>
      <c r="D11" t="s">
        <v>12</v>
      </c>
      <c r="E11">
        <v>16000</v>
      </c>
      <c r="F11">
        <v>12000</v>
      </c>
      <c r="G11">
        <v>2</v>
      </c>
      <c r="H11">
        <f t="shared" si="1"/>
        <v>4000</v>
      </c>
      <c r="I11" t="str">
        <f t="shared" si="0"/>
        <v>January</v>
      </c>
      <c r="J11" t="str">
        <f>TEXT(Table2[[#This Row],[Order Date]],"m")</f>
        <v>1</v>
      </c>
    </row>
    <row r="12" spans="1:10" x14ac:dyDescent="0.35">
      <c r="A12" s="1">
        <v>45690</v>
      </c>
      <c r="B12" t="s">
        <v>13</v>
      </c>
      <c r="C12" t="s">
        <v>8</v>
      </c>
      <c r="D12" t="s">
        <v>9</v>
      </c>
      <c r="E12">
        <v>60000</v>
      </c>
      <c r="F12">
        <v>50000</v>
      </c>
      <c r="G12">
        <v>2</v>
      </c>
      <c r="H12">
        <f t="shared" si="1"/>
        <v>10000</v>
      </c>
      <c r="I12" t="str">
        <f t="shared" si="0"/>
        <v>February</v>
      </c>
      <c r="J12" t="str">
        <f>TEXT(Table2[[#This Row],[Order Date]],"m")</f>
        <v>2</v>
      </c>
    </row>
    <row r="13" spans="1:10" x14ac:dyDescent="0.35">
      <c r="A13" s="1">
        <v>45692</v>
      </c>
      <c r="B13" t="s">
        <v>15</v>
      </c>
      <c r="C13" t="s">
        <v>11</v>
      </c>
      <c r="D13" t="s">
        <v>12</v>
      </c>
      <c r="E13">
        <v>10000</v>
      </c>
      <c r="F13">
        <v>7200</v>
      </c>
      <c r="G13">
        <v>3</v>
      </c>
      <c r="H13">
        <f t="shared" si="1"/>
        <v>2800</v>
      </c>
      <c r="I13" t="str">
        <f t="shared" si="0"/>
        <v>February</v>
      </c>
      <c r="J13" t="str">
        <f>TEXT(Table2[[#This Row],[Order Date]],"m")</f>
        <v>2</v>
      </c>
    </row>
    <row r="14" spans="1:10" x14ac:dyDescent="0.35">
      <c r="A14" s="1">
        <v>45694</v>
      </c>
      <c r="B14" t="s">
        <v>7</v>
      </c>
      <c r="C14" t="s">
        <v>14</v>
      </c>
      <c r="D14" t="s">
        <v>9</v>
      </c>
      <c r="E14">
        <v>28000</v>
      </c>
      <c r="F14">
        <v>22000</v>
      </c>
      <c r="G14">
        <v>2</v>
      </c>
      <c r="H14">
        <f t="shared" si="1"/>
        <v>6000</v>
      </c>
      <c r="I14" t="str">
        <f t="shared" si="0"/>
        <v>February</v>
      </c>
      <c r="J14" t="str">
        <f>TEXT(Table2[[#This Row],[Order Date]],"m")</f>
        <v>2</v>
      </c>
    </row>
    <row r="15" spans="1:10" x14ac:dyDescent="0.35">
      <c r="A15" s="1">
        <v>45696</v>
      </c>
      <c r="B15" t="s">
        <v>10</v>
      </c>
      <c r="C15" t="s">
        <v>16</v>
      </c>
      <c r="D15" t="s">
        <v>12</v>
      </c>
      <c r="E15">
        <v>17000</v>
      </c>
      <c r="F15">
        <v>12500</v>
      </c>
      <c r="G15">
        <v>2</v>
      </c>
      <c r="H15">
        <f t="shared" si="1"/>
        <v>4500</v>
      </c>
      <c r="I15" t="str">
        <f t="shared" si="0"/>
        <v>February</v>
      </c>
      <c r="J15" t="str">
        <f>TEXT(Table2[[#This Row],[Order Date]],"m")</f>
        <v>2</v>
      </c>
    </row>
    <row r="16" spans="1:10" x14ac:dyDescent="0.35">
      <c r="A16" s="1">
        <v>45698</v>
      </c>
      <c r="B16" t="s">
        <v>13</v>
      </c>
      <c r="C16" t="s">
        <v>17</v>
      </c>
      <c r="D16" t="s">
        <v>9</v>
      </c>
      <c r="E16">
        <v>9000</v>
      </c>
      <c r="F16">
        <v>5000</v>
      </c>
      <c r="G16">
        <v>6</v>
      </c>
      <c r="H16">
        <f t="shared" si="1"/>
        <v>4000</v>
      </c>
      <c r="I16" t="str">
        <f t="shared" si="0"/>
        <v>February</v>
      </c>
      <c r="J16" t="str">
        <f>TEXT(Table2[[#This Row],[Order Date]],"m")</f>
        <v>2</v>
      </c>
    </row>
    <row r="17" spans="1:10" x14ac:dyDescent="0.35">
      <c r="A17" s="1">
        <v>45700</v>
      </c>
      <c r="B17" t="s">
        <v>15</v>
      </c>
      <c r="C17" t="s">
        <v>18</v>
      </c>
      <c r="D17" t="s">
        <v>12</v>
      </c>
      <c r="E17">
        <v>27000</v>
      </c>
      <c r="F17">
        <v>21000</v>
      </c>
      <c r="G17">
        <v>1</v>
      </c>
      <c r="H17">
        <f t="shared" si="1"/>
        <v>6000</v>
      </c>
      <c r="I17" t="str">
        <f t="shared" si="0"/>
        <v>February</v>
      </c>
      <c r="J17" t="str">
        <f>TEXT(Table2[[#This Row],[Order Date]],"m")</f>
        <v>2</v>
      </c>
    </row>
    <row r="18" spans="1:10" x14ac:dyDescent="0.35">
      <c r="A18" s="1">
        <v>45702</v>
      </c>
      <c r="B18" t="s">
        <v>7</v>
      </c>
      <c r="C18" t="s">
        <v>19</v>
      </c>
      <c r="D18" t="s">
        <v>9</v>
      </c>
      <c r="E18">
        <v>14000</v>
      </c>
      <c r="F18">
        <v>10500</v>
      </c>
      <c r="G18">
        <v>2</v>
      </c>
      <c r="H18">
        <f t="shared" si="1"/>
        <v>3500</v>
      </c>
      <c r="I18" t="str">
        <f t="shared" si="0"/>
        <v>February</v>
      </c>
      <c r="J18" t="str">
        <f>TEXT(Table2[[#This Row],[Order Date]],"m")</f>
        <v>2</v>
      </c>
    </row>
    <row r="19" spans="1:10" x14ac:dyDescent="0.35">
      <c r="A19" s="1">
        <v>45704</v>
      </c>
      <c r="B19" t="s">
        <v>10</v>
      </c>
      <c r="C19" t="s">
        <v>20</v>
      </c>
      <c r="D19" t="s">
        <v>12</v>
      </c>
      <c r="E19">
        <v>15000</v>
      </c>
      <c r="F19">
        <v>11000</v>
      </c>
      <c r="G19">
        <v>2</v>
      </c>
      <c r="H19">
        <f t="shared" si="1"/>
        <v>4000</v>
      </c>
      <c r="I19" t="str">
        <f t="shared" si="0"/>
        <v>February</v>
      </c>
      <c r="J19" t="str">
        <f>TEXT(Table2[[#This Row],[Order Date]],"m")</f>
        <v>2</v>
      </c>
    </row>
    <row r="20" spans="1:10" x14ac:dyDescent="0.35">
      <c r="A20" s="1">
        <v>45706</v>
      </c>
      <c r="B20" t="s">
        <v>13</v>
      </c>
      <c r="C20" t="s">
        <v>21</v>
      </c>
      <c r="D20" t="s">
        <v>9</v>
      </c>
      <c r="E20">
        <v>24000</v>
      </c>
      <c r="F20">
        <v>18500</v>
      </c>
      <c r="G20">
        <v>2</v>
      </c>
      <c r="H20">
        <f t="shared" si="1"/>
        <v>5500</v>
      </c>
      <c r="I20" t="str">
        <f t="shared" si="0"/>
        <v>February</v>
      </c>
      <c r="J20" t="str">
        <f>TEXT(Table2[[#This Row],[Order Date]],"m")</f>
        <v>2</v>
      </c>
    </row>
    <row r="21" spans="1:10" x14ac:dyDescent="0.35">
      <c r="A21" s="1">
        <v>45708</v>
      </c>
      <c r="B21" t="s">
        <v>15</v>
      </c>
      <c r="C21" t="s">
        <v>22</v>
      </c>
      <c r="D21" t="s">
        <v>12</v>
      </c>
      <c r="E21">
        <v>15500</v>
      </c>
      <c r="F21">
        <v>11800</v>
      </c>
      <c r="G21">
        <v>2</v>
      </c>
      <c r="H21">
        <f t="shared" si="1"/>
        <v>3700</v>
      </c>
      <c r="I21" t="str">
        <f t="shared" si="0"/>
        <v>February</v>
      </c>
      <c r="J21" t="str">
        <f>TEXT(Table2[[#This Row],[Order Date]],"m")</f>
        <v>2</v>
      </c>
    </row>
    <row r="22" spans="1:10" x14ac:dyDescent="0.35">
      <c r="A22" s="1">
        <v>45717</v>
      </c>
      <c r="B22" t="s">
        <v>7</v>
      </c>
      <c r="C22" t="s">
        <v>8</v>
      </c>
      <c r="D22" t="s">
        <v>9</v>
      </c>
      <c r="E22">
        <v>58000</v>
      </c>
      <c r="F22">
        <v>49000</v>
      </c>
      <c r="G22">
        <v>2</v>
      </c>
      <c r="H22">
        <f t="shared" si="1"/>
        <v>9000</v>
      </c>
      <c r="I22" t="str">
        <f t="shared" si="0"/>
        <v>March</v>
      </c>
      <c r="J22" t="str">
        <f>TEXT(Table2[[#This Row],[Order Date]],"m")</f>
        <v>3</v>
      </c>
    </row>
    <row r="23" spans="1:10" x14ac:dyDescent="0.35">
      <c r="A23" s="1">
        <v>45719</v>
      </c>
      <c r="B23" t="s">
        <v>10</v>
      </c>
      <c r="C23" t="s">
        <v>11</v>
      </c>
      <c r="D23" t="s">
        <v>12</v>
      </c>
      <c r="E23">
        <v>11000</v>
      </c>
      <c r="F23">
        <v>7900</v>
      </c>
      <c r="G23">
        <v>4</v>
      </c>
      <c r="H23">
        <f t="shared" si="1"/>
        <v>3100</v>
      </c>
      <c r="I23" t="str">
        <f t="shared" si="0"/>
        <v>March</v>
      </c>
      <c r="J23" t="str">
        <f>TEXT(Table2[[#This Row],[Order Date]],"m")</f>
        <v>3</v>
      </c>
    </row>
    <row r="24" spans="1:10" x14ac:dyDescent="0.35">
      <c r="A24" s="1">
        <v>45721</v>
      </c>
      <c r="B24" t="s">
        <v>13</v>
      </c>
      <c r="C24" t="s">
        <v>14</v>
      </c>
      <c r="D24" t="s">
        <v>9</v>
      </c>
      <c r="E24">
        <v>32000</v>
      </c>
      <c r="F24">
        <v>25500</v>
      </c>
      <c r="G24">
        <v>3</v>
      </c>
      <c r="H24">
        <f t="shared" si="1"/>
        <v>6500</v>
      </c>
      <c r="I24" t="str">
        <f t="shared" si="0"/>
        <v>March</v>
      </c>
      <c r="J24" t="str">
        <f>TEXT(Table2[[#This Row],[Order Date]],"m")</f>
        <v>3</v>
      </c>
    </row>
    <row r="25" spans="1:10" x14ac:dyDescent="0.35">
      <c r="A25" s="1">
        <v>45723</v>
      </c>
      <c r="B25" t="s">
        <v>15</v>
      </c>
      <c r="C25" t="s">
        <v>16</v>
      </c>
      <c r="D25" t="s">
        <v>12</v>
      </c>
      <c r="E25">
        <v>19000</v>
      </c>
      <c r="F25">
        <v>13800</v>
      </c>
      <c r="G25">
        <v>2</v>
      </c>
      <c r="H25">
        <f t="shared" si="1"/>
        <v>5200</v>
      </c>
      <c r="I25" t="str">
        <f t="shared" si="0"/>
        <v>March</v>
      </c>
      <c r="J25" t="str">
        <f>TEXT(Table2[[#This Row],[Order Date]],"m")</f>
        <v>3</v>
      </c>
    </row>
    <row r="26" spans="1:10" x14ac:dyDescent="0.35">
      <c r="A26" s="1">
        <v>45725</v>
      </c>
      <c r="B26" t="s">
        <v>7</v>
      </c>
      <c r="C26" t="s">
        <v>17</v>
      </c>
      <c r="D26" t="s">
        <v>9</v>
      </c>
      <c r="E26">
        <v>8500</v>
      </c>
      <c r="F26">
        <v>5100</v>
      </c>
      <c r="G26">
        <v>5</v>
      </c>
      <c r="H26">
        <f t="shared" si="1"/>
        <v>3400</v>
      </c>
      <c r="I26" t="str">
        <f t="shared" si="0"/>
        <v>March</v>
      </c>
      <c r="J26" t="str">
        <f>TEXT(Table2[[#This Row],[Order Date]],"m")</f>
        <v>3</v>
      </c>
    </row>
    <row r="27" spans="1:10" x14ac:dyDescent="0.35">
      <c r="A27" s="1">
        <v>45727</v>
      </c>
      <c r="B27" t="s">
        <v>10</v>
      </c>
      <c r="C27" t="s">
        <v>18</v>
      </c>
      <c r="D27" t="s">
        <v>12</v>
      </c>
      <c r="E27">
        <v>26000</v>
      </c>
      <c r="F27">
        <v>19800</v>
      </c>
      <c r="G27">
        <v>1</v>
      </c>
      <c r="H27">
        <f t="shared" si="1"/>
        <v>6200</v>
      </c>
      <c r="I27" t="str">
        <f t="shared" si="0"/>
        <v>March</v>
      </c>
      <c r="J27" t="str">
        <f>TEXT(Table2[[#This Row],[Order Date]],"m")</f>
        <v>3</v>
      </c>
    </row>
    <row r="28" spans="1:10" x14ac:dyDescent="0.35">
      <c r="A28" s="1">
        <v>45729</v>
      </c>
      <c r="B28" t="s">
        <v>13</v>
      </c>
      <c r="C28" t="s">
        <v>19</v>
      </c>
      <c r="D28" t="s">
        <v>9</v>
      </c>
      <c r="E28">
        <v>15500</v>
      </c>
      <c r="F28">
        <v>11200</v>
      </c>
      <c r="G28">
        <v>2</v>
      </c>
      <c r="H28">
        <f t="shared" si="1"/>
        <v>4300</v>
      </c>
      <c r="I28" t="str">
        <f t="shared" si="0"/>
        <v>March</v>
      </c>
      <c r="J28" t="str">
        <f>TEXT(Table2[[#This Row],[Order Date]],"m")</f>
        <v>3</v>
      </c>
    </row>
    <row r="29" spans="1:10" x14ac:dyDescent="0.35">
      <c r="A29" s="1">
        <v>45731</v>
      </c>
      <c r="B29" t="s">
        <v>15</v>
      </c>
      <c r="C29" t="s">
        <v>20</v>
      </c>
      <c r="D29" t="s">
        <v>12</v>
      </c>
      <c r="E29">
        <v>14500</v>
      </c>
      <c r="F29">
        <v>10300</v>
      </c>
      <c r="G29">
        <v>2</v>
      </c>
      <c r="H29">
        <f t="shared" si="1"/>
        <v>4200</v>
      </c>
      <c r="I29" t="str">
        <f t="shared" si="0"/>
        <v>March</v>
      </c>
      <c r="J29" t="str">
        <f>TEXT(Table2[[#This Row],[Order Date]],"m")</f>
        <v>3</v>
      </c>
    </row>
    <row r="30" spans="1:10" x14ac:dyDescent="0.35">
      <c r="A30" s="1">
        <v>45733</v>
      </c>
      <c r="B30" t="s">
        <v>7</v>
      </c>
      <c r="C30" t="s">
        <v>21</v>
      </c>
      <c r="D30" t="s">
        <v>9</v>
      </c>
      <c r="E30">
        <v>23000</v>
      </c>
      <c r="F30">
        <v>17600</v>
      </c>
      <c r="G30">
        <v>2</v>
      </c>
      <c r="H30">
        <f t="shared" si="1"/>
        <v>5400</v>
      </c>
      <c r="I30" t="str">
        <f t="shared" si="0"/>
        <v>March</v>
      </c>
      <c r="J30" t="str">
        <f>TEXT(Table2[[#This Row],[Order Date]],"m")</f>
        <v>3</v>
      </c>
    </row>
    <row r="31" spans="1:10" x14ac:dyDescent="0.35">
      <c r="A31" s="1">
        <v>45735</v>
      </c>
      <c r="B31" t="s">
        <v>10</v>
      </c>
      <c r="C31" t="s">
        <v>22</v>
      </c>
      <c r="D31" t="s">
        <v>12</v>
      </c>
      <c r="E31">
        <v>16500</v>
      </c>
      <c r="F31">
        <v>12400</v>
      </c>
      <c r="G31">
        <v>2</v>
      </c>
      <c r="H31">
        <f t="shared" si="1"/>
        <v>4100</v>
      </c>
      <c r="I31" t="str">
        <f t="shared" si="0"/>
        <v>March</v>
      </c>
      <c r="J31" t="str">
        <f>TEXT(Table2[[#This Row],[Order Date]],"m")</f>
        <v>3</v>
      </c>
    </row>
    <row r="32" spans="1:10" x14ac:dyDescent="0.35">
      <c r="A32" s="1">
        <v>45749</v>
      </c>
      <c r="B32" t="s">
        <v>13</v>
      </c>
      <c r="C32" t="s">
        <v>8</v>
      </c>
      <c r="D32" t="s">
        <v>9</v>
      </c>
      <c r="E32">
        <v>62000</v>
      </c>
      <c r="F32">
        <v>52000</v>
      </c>
      <c r="G32">
        <v>2</v>
      </c>
      <c r="H32">
        <f t="shared" si="1"/>
        <v>10000</v>
      </c>
      <c r="I32" t="str">
        <f t="shared" si="0"/>
        <v>April</v>
      </c>
      <c r="J32" t="str">
        <f>TEXT(Table2[[#This Row],[Order Date]],"m")</f>
        <v>4</v>
      </c>
    </row>
    <row r="33" spans="1:10" x14ac:dyDescent="0.35">
      <c r="A33" s="1">
        <v>45751</v>
      </c>
      <c r="B33" t="s">
        <v>15</v>
      </c>
      <c r="C33" t="s">
        <v>11</v>
      </c>
      <c r="D33" t="s">
        <v>12</v>
      </c>
      <c r="E33">
        <v>10500</v>
      </c>
      <c r="F33">
        <v>7600</v>
      </c>
      <c r="G33">
        <v>3</v>
      </c>
      <c r="H33">
        <f t="shared" si="1"/>
        <v>2900</v>
      </c>
      <c r="I33" t="str">
        <f t="shared" si="0"/>
        <v>April</v>
      </c>
      <c r="J33" t="str">
        <f>TEXT(Table2[[#This Row],[Order Date]],"m")</f>
        <v>4</v>
      </c>
    </row>
    <row r="34" spans="1:10" x14ac:dyDescent="0.35">
      <c r="A34" s="1">
        <v>45753</v>
      </c>
      <c r="B34" t="s">
        <v>7</v>
      </c>
      <c r="C34" t="s">
        <v>14</v>
      </c>
      <c r="D34" t="s">
        <v>9</v>
      </c>
      <c r="E34">
        <v>29500</v>
      </c>
      <c r="F34">
        <v>23000</v>
      </c>
      <c r="G34">
        <v>2</v>
      </c>
      <c r="H34">
        <f t="shared" si="1"/>
        <v>6500</v>
      </c>
      <c r="I34" t="str">
        <f t="shared" si="0"/>
        <v>April</v>
      </c>
      <c r="J34" t="str">
        <f>TEXT(Table2[[#This Row],[Order Date]],"m")</f>
        <v>4</v>
      </c>
    </row>
    <row r="35" spans="1:10" x14ac:dyDescent="0.35">
      <c r="A35" s="1">
        <v>45755</v>
      </c>
      <c r="B35" t="s">
        <v>10</v>
      </c>
      <c r="C35" t="s">
        <v>16</v>
      </c>
      <c r="D35" t="s">
        <v>12</v>
      </c>
      <c r="E35">
        <v>17500</v>
      </c>
      <c r="F35">
        <v>12800</v>
      </c>
      <c r="G35">
        <v>2</v>
      </c>
      <c r="H35">
        <f t="shared" si="1"/>
        <v>4700</v>
      </c>
      <c r="I35" t="str">
        <f t="shared" si="0"/>
        <v>April</v>
      </c>
      <c r="J35" t="str">
        <f>TEXT(Table2[[#This Row],[Order Date]],"m")</f>
        <v>4</v>
      </c>
    </row>
    <row r="36" spans="1:10" x14ac:dyDescent="0.35">
      <c r="A36" s="1">
        <v>45757</v>
      </c>
      <c r="B36" t="s">
        <v>13</v>
      </c>
      <c r="C36" t="s">
        <v>17</v>
      </c>
      <c r="D36" t="s">
        <v>9</v>
      </c>
      <c r="E36">
        <v>9500</v>
      </c>
      <c r="F36">
        <v>5600</v>
      </c>
      <c r="G36">
        <v>6</v>
      </c>
      <c r="H36">
        <f t="shared" si="1"/>
        <v>3900</v>
      </c>
      <c r="I36" t="str">
        <f t="shared" si="0"/>
        <v>April</v>
      </c>
      <c r="J36" t="str">
        <f>TEXT(Table2[[#This Row],[Order Date]],"m")</f>
        <v>4</v>
      </c>
    </row>
    <row r="37" spans="1:10" x14ac:dyDescent="0.35">
      <c r="A37" s="1">
        <v>45759</v>
      </c>
      <c r="B37" t="s">
        <v>15</v>
      </c>
      <c r="C37" t="s">
        <v>18</v>
      </c>
      <c r="D37" t="s">
        <v>12</v>
      </c>
      <c r="E37">
        <v>28000</v>
      </c>
      <c r="F37">
        <v>21800</v>
      </c>
      <c r="G37">
        <v>1</v>
      </c>
      <c r="H37">
        <f t="shared" si="1"/>
        <v>6200</v>
      </c>
      <c r="I37" t="str">
        <f t="shared" si="0"/>
        <v>April</v>
      </c>
      <c r="J37" t="str">
        <f>TEXT(Table2[[#This Row],[Order Date]],"m")</f>
        <v>4</v>
      </c>
    </row>
    <row r="38" spans="1:10" x14ac:dyDescent="0.35">
      <c r="A38" s="1">
        <v>45761</v>
      </c>
      <c r="B38" t="s">
        <v>7</v>
      </c>
      <c r="C38" t="s">
        <v>19</v>
      </c>
      <c r="D38" t="s">
        <v>9</v>
      </c>
      <c r="E38">
        <v>14500</v>
      </c>
      <c r="F38">
        <v>10800</v>
      </c>
      <c r="G38">
        <v>2</v>
      </c>
      <c r="H38">
        <f t="shared" si="1"/>
        <v>3700</v>
      </c>
      <c r="I38" t="str">
        <f t="shared" si="0"/>
        <v>April</v>
      </c>
      <c r="J38" t="str">
        <f>TEXT(Table2[[#This Row],[Order Date]],"m")</f>
        <v>4</v>
      </c>
    </row>
    <row r="39" spans="1:10" x14ac:dyDescent="0.35">
      <c r="A39" s="1">
        <v>45763</v>
      </c>
      <c r="B39" t="s">
        <v>10</v>
      </c>
      <c r="C39" t="s">
        <v>20</v>
      </c>
      <c r="D39" t="s">
        <v>12</v>
      </c>
      <c r="E39">
        <v>15200</v>
      </c>
      <c r="F39">
        <v>11200</v>
      </c>
      <c r="G39">
        <v>2</v>
      </c>
      <c r="H39">
        <f t="shared" si="1"/>
        <v>4000</v>
      </c>
      <c r="I39" t="str">
        <f t="shared" si="0"/>
        <v>April</v>
      </c>
      <c r="J39" t="str">
        <f>TEXT(Table2[[#This Row],[Order Date]],"m")</f>
        <v>4</v>
      </c>
    </row>
    <row r="40" spans="1:10" x14ac:dyDescent="0.35">
      <c r="A40" s="1">
        <v>45765</v>
      </c>
      <c r="B40" t="s">
        <v>13</v>
      </c>
      <c r="C40" t="s">
        <v>21</v>
      </c>
      <c r="D40" t="s">
        <v>9</v>
      </c>
      <c r="E40">
        <v>24500</v>
      </c>
      <c r="F40">
        <v>18800</v>
      </c>
      <c r="G40">
        <v>2</v>
      </c>
      <c r="H40">
        <f t="shared" si="1"/>
        <v>5700</v>
      </c>
      <c r="I40" t="str">
        <f t="shared" si="0"/>
        <v>April</v>
      </c>
      <c r="J40" t="str">
        <f>TEXT(Table2[[#This Row],[Order Date]],"m")</f>
        <v>4</v>
      </c>
    </row>
    <row r="41" spans="1:10" x14ac:dyDescent="0.35">
      <c r="A41" s="1">
        <v>45767</v>
      </c>
      <c r="B41" t="s">
        <v>15</v>
      </c>
      <c r="C41" t="s">
        <v>22</v>
      </c>
      <c r="D41" t="s">
        <v>12</v>
      </c>
      <c r="E41">
        <v>15800</v>
      </c>
      <c r="F41">
        <v>11900</v>
      </c>
      <c r="G41">
        <v>2</v>
      </c>
      <c r="H41">
        <f t="shared" si="1"/>
        <v>3900</v>
      </c>
      <c r="I41" t="str">
        <f t="shared" si="0"/>
        <v>April</v>
      </c>
      <c r="J41" t="str">
        <f>TEXT(Table2[[#This Row],[Order Date]],"m")</f>
        <v>4</v>
      </c>
    </row>
    <row r="42" spans="1:10" x14ac:dyDescent="0.35">
      <c r="H42">
        <f>SUM(Table2[Profit])</f>
        <v>201200</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
  <sheetViews>
    <sheetView topLeftCell="A2" workbookViewId="0">
      <selection sqref="A1:J41"/>
    </sheetView>
  </sheetViews>
  <sheetFormatPr defaultRowHeight="14.5" x14ac:dyDescent="0.35"/>
  <cols>
    <col min="1" max="1" width="14.7265625" bestFit="1" customWidth="1"/>
    <col min="2" max="2" width="11" bestFit="1" customWidth="1"/>
    <col min="3" max="3" width="12" bestFit="1" customWidth="1"/>
    <col min="4" max="4" width="12.81640625" bestFit="1" customWidth="1"/>
    <col min="5" max="5" width="9.54296875" bestFit="1" customWidth="1"/>
    <col min="6" max="6" width="9.08984375" bestFit="1" customWidth="1"/>
    <col min="7" max="7" width="12.7265625" bestFit="1" customWidth="1"/>
    <col min="8" max="8" width="10.08984375" bestFit="1" customWidth="1"/>
    <col min="9" max="9" width="16.453125" bestFit="1" customWidth="1"/>
    <col min="10" max="10" width="14.26953125" style="7" bestFit="1" customWidth="1"/>
  </cols>
  <sheetData>
    <row r="1" spans="1:10" x14ac:dyDescent="0.35">
      <c r="A1" s="2" t="s">
        <v>0</v>
      </c>
      <c r="B1" s="4" t="s">
        <v>1</v>
      </c>
      <c r="C1" s="4" t="s">
        <v>2</v>
      </c>
      <c r="D1" s="4" t="s">
        <v>3</v>
      </c>
      <c r="E1" s="2" t="s">
        <v>4</v>
      </c>
      <c r="F1" s="2" t="s">
        <v>5</v>
      </c>
      <c r="G1" s="2" t="s">
        <v>6</v>
      </c>
      <c r="H1" s="2" t="s">
        <v>23</v>
      </c>
      <c r="I1" s="2" t="s">
        <v>24</v>
      </c>
      <c r="J1" s="6" t="s">
        <v>25</v>
      </c>
    </row>
    <row r="2" spans="1:10" x14ac:dyDescent="0.35">
      <c r="A2" s="1">
        <v>45660</v>
      </c>
      <c r="B2" t="s">
        <v>7</v>
      </c>
      <c r="C2" t="s">
        <v>8</v>
      </c>
      <c r="D2" t="s">
        <v>9</v>
      </c>
      <c r="E2">
        <v>55000</v>
      </c>
      <c r="F2">
        <v>47000</v>
      </c>
      <c r="G2">
        <v>2</v>
      </c>
      <c r="H2">
        <f>E2-F2</f>
        <v>8000</v>
      </c>
      <c r="I2" t="str">
        <f t="shared" ref="I2:I41" si="0">TEXT(A2,"mmmm")</f>
        <v>January</v>
      </c>
      <c r="J2" s="7" t="str">
        <f>TEXT(Table24[[#This Row],[Order Date]],"m")</f>
        <v>1</v>
      </c>
    </row>
    <row r="3" spans="1:10" x14ac:dyDescent="0.35">
      <c r="A3" s="1">
        <v>45662</v>
      </c>
      <c r="B3" t="s">
        <v>10</v>
      </c>
      <c r="C3" t="s">
        <v>11</v>
      </c>
      <c r="D3" t="s">
        <v>12</v>
      </c>
      <c r="E3">
        <v>12000</v>
      </c>
      <c r="F3">
        <v>8500</v>
      </c>
      <c r="G3">
        <v>4</v>
      </c>
      <c r="H3">
        <f t="shared" ref="H3:H41" si="1">E3-F3</f>
        <v>3500</v>
      </c>
      <c r="I3" t="str">
        <f t="shared" si="0"/>
        <v>January</v>
      </c>
      <c r="J3" s="7" t="str">
        <f>TEXT(Table24[[#This Row],[Order Date]],"m")</f>
        <v>1</v>
      </c>
    </row>
    <row r="4" spans="1:10" x14ac:dyDescent="0.35">
      <c r="A4" s="1">
        <v>45664</v>
      </c>
      <c r="B4" t="s">
        <v>13</v>
      </c>
      <c r="C4" t="s">
        <v>14</v>
      </c>
      <c r="D4" t="s">
        <v>9</v>
      </c>
      <c r="E4">
        <v>30000</v>
      </c>
      <c r="F4">
        <v>24000</v>
      </c>
      <c r="G4">
        <v>3</v>
      </c>
      <c r="H4">
        <f t="shared" si="1"/>
        <v>6000</v>
      </c>
      <c r="I4" t="str">
        <f t="shared" si="0"/>
        <v>January</v>
      </c>
      <c r="J4" s="7" t="str">
        <f>TEXT(Table24[[#This Row],[Order Date]],"m")</f>
        <v>1</v>
      </c>
    </row>
    <row r="5" spans="1:10" x14ac:dyDescent="0.35">
      <c r="A5" s="1">
        <v>45666</v>
      </c>
      <c r="B5" t="s">
        <v>15</v>
      </c>
      <c r="C5" t="s">
        <v>16</v>
      </c>
      <c r="D5" t="s">
        <v>12</v>
      </c>
      <c r="E5">
        <v>18000</v>
      </c>
      <c r="F5">
        <v>13000</v>
      </c>
      <c r="G5">
        <v>2</v>
      </c>
      <c r="H5">
        <f t="shared" si="1"/>
        <v>5000</v>
      </c>
      <c r="I5" t="str">
        <f t="shared" si="0"/>
        <v>January</v>
      </c>
      <c r="J5" s="7" t="str">
        <f>TEXT(Table24[[#This Row],[Order Date]],"m")</f>
        <v>1</v>
      </c>
    </row>
    <row r="6" spans="1:10" x14ac:dyDescent="0.35">
      <c r="A6" s="1">
        <v>45668</v>
      </c>
      <c r="B6" t="s">
        <v>7</v>
      </c>
      <c r="C6" t="s">
        <v>17</v>
      </c>
      <c r="D6" t="s">
        <v>9</v>
      </c>
      <c r="E6">
        <v>7000</v>
      </c>
      <c r="F6">
        <v>4200</v>
      </c>
      <c r="G6">
        <v>5</v>
      </c>
      <c r="H6">
        <f t="shared" si="1"/>
        <v>2800</v>
      </c>
      <c r="I6" t="str">
        <f t="shared" si="0"/>
        <v>January</v>
      </c>
      <c r="J6" s="7" t="str">
        <f>TEXT(Table24[[#This Row],[Order Date]],"m")</f>
        <v>1</v>
      </c>
    </row>
    <row r="7" spans="1:10" x14ac:dyDescent="0.35">
      <c r="A7" s="1">
        <v>45670</v>
      </c>
      <c r="B7" t="s">
        <v>10</v>
      </c>
      <c r="C7" t="s">
        <v>18</v>
      </c>
      <c r="D7" t="s">
        <v>12</v>
      </c>
      <c r="E7">
        <v>25000</v>
      </c>
      <c r="F7">
        <v>19000</v>
      </c>
      <c r="G7">
        <v>1</v>
      </c>
      <c r="H7">
        <f t="shared" si="1"/>
        <v>6000</v>
      </c>
      <c r="I7" t="str">
        <f t="shared" si="0"/>
        <v>January</v>
      </c>
      <c r="J7" s="7" t="str">
        <f>TEXT(Table24[[#This Row],[Order Date]],"m")</f>
        <v>1</v>
      </c>
    </row>
    <row r="8" spans="1:10" x14ac:dyDescent="0.35">
      <c r="A8" s="1">
        <v>45672</v>
      </c>
      <c r="B8" t="s">
        <v>13</v>
      </c>
      <c r="C8" t="s">
        <v>19</v>
      </c>
      <c r="D8" t="s">
        <v>9</v>
      </c>
      <c r="E8">
        <v>15000</v>
      </c>
      <c r="F8">
        <v>11000</v>
      </c>
      <c r="G8">
        <v>2</v>
      </c>
      <c r="H8">
        <f t="shared" si="1"/>
        <v>4000</v>
      </c>
      <c r="I8" t="str">
        <f t="shared" si="0"/>
        <v>January</v>
      </c>
      <c r="J8" s="7" t="str">
        <f>TEXT(Table24[[#This Row],[Order Date]],"m")</f>
        <v>1</v>
      </c>
    </row>
    <row r="9" spans="1:10" x14ac:dyDescent="0.35">
      <c r="A9" s="1">
        <v>45675</v>
      </c>
      <c r="B9" t="s">
        <v>15</v>
      </c>
      <c r="C9" t="s">
        <v>20</v>
      </c>
      <c r="D9" t="s">
        <v>12</v>
      </c>
      <c r="E9">
        <v>14000</v>
      </c>
      <c r="F9">
        <v>10000</v>
      </c>
      <c r="G9">
        <v>2</v>
      </c>
      <c r="H9">
        <f t="shared" si="1"/>
        <v>4000</v>
      </c>
      <c r="I9" t="str">
        <f t="shared" si="0"/>
        <v>January</v>
      </c>
      <c r="J9" s="7" t="str">
        <f>TEXT(Table24[[#This Row],[Order Date]],"m")</f>
        <v>1</v>
      </c>
    </row>
    <row r="10" spans="1:10" x14ac:dyDescent="0.35">
      <c r="A10" s="1">
        <v>45678</v>
      </c>
      <c r="B10" t="s">
        <v>7</v>
      </c>
      <c r="C10" t="s">
        <v>21</v>
      </c>
      <c r="D10" t="s">
        <v>9</v>
      </c>
      <c r="E10">
        <v>22000</v>
      </c>
      <c r="F10">
        <v>17000</v>
      </c>
      <c r="G10">
        <v>2</v>
      </c>
      <c r="H10">
        <f t="shared" si="1"/>
        <v>5000</v>
      </c>
      <c r="I10" t="str">
        <f t="shared" si="0"/>
        <v>January</v>
      </c>
      <c r="J10" s="7" t="str">
        <f>TEXT(Table24[[#This Row],[Order Date]],"m")</f>
        <v>1</v>
      </c>
    </row>
    <row r="11" spans="1:10" x14ac:dyDescent="0.35">
      <c r="A11" s="1">
        <v>45681</v>
      </c>
      <c r="B11" t="s">
        <v>10</v>
      </c>
      <c r="C11" t="s">
        <v>22</v>
      </c>
      <c r="D11" t="s">
        <v>12</v>
      </c>
      <c r="E11">
        <v>16000</v>
      </c>
      <c r="F11">
        <v>12000</v>
      </c>
      <c r="G11">
        <v>2</v>
      </c>
      <c r="H11">
        <f t="shared" si="1"/>
        <v>4000</v>
      </c>
      <c r="I11" t="str">
        <f t="shared" si="0"/>
        <v>January</v>
      </c>
      <c r="J11" s="7" t="str">
        <f>TEXT(Table24[[#This Row],[Order Date]],"m")</f>
        <v>1</v>
      </c>
    </row>
    <row r="12" spans="1:10" x14ac:dyDescent="0.35">
      <c r="A12" s="1">
        <v>45690</v>
      </c>
      <c r="B12" t="s">
        <v>13</v>
      </c>
      <c r="C12" t="s">
        <v>8</v>
      </c>
      <c r="D12" t="s">
        <v>9</v>
      </c>
      <c r="E12">
        <v>60000</v>
      </c>
      <c r="F12">
        <v>50000</v>
      </c>
      <c r="G12">
        <v>2</v>
      </c>
      <c r="H12">
        <f t="shared" si="1"/>
        <v>10000</v>
      </c>
      <c r="I12" t="str">
        <f t="shared" si="0"/>
        <v>February</v>
      </c>
      <c r="J12" s="7" t="str">
        <f>TEXT(Table24[[#This Row],[Order Date]],"m")</f>
        <v>2</v>
      </c>
    </row>
    <row r="13" spans="1:10" x14ac:dyDescent="0.35">
      <c r="A13" s="1">
        <v>45692</v>
      </c>
      <c r="B13" t="s">
        <v>15</v>
      </c>
      <c r="C13" t="s">
        <v>11</v>
      </c>
      <c r="D13" t="s">
        <v>12</v>
      </c>
      <c r="E13">
        <v>10000</v>
      </c>
      <c r="F13">
        <v>7200</v>
      </c>
      <c r="G13">
        <v>3</v>
      </c>
      <c r="H13">
        <f t="shared" si="1"/>
        <v>2800</v>
      </c>
      <c r="I13" t="str">
        <f t="shared" si="0"/>
        <v>February</v>
      </c>
      <c r="J13" s="7" t="str">
        <f>TEXT(Table24[[#This Row],[Order Date]],"m")</f>
        <v>2</v>
      </c>
    </row>
    <row r="14" spans="1:10" x14ac:dyDescent="0.35">
      <c r="A14" s="1">
        <v>45694</v>
      </c>
      <c r="B14" t="s">
        <v>7</v>
      </c>
      <c r="C14" t="s">
        <v>14</v>
      </c>
      <c r="D14" t="s">
        <v>9</v>
      </c>
      <c r="E14">
        <v>28000</v>
      </c>
      <c r="F14">
        <v>22000</v>
      </c>
      <c r="G14">
        <v>2</v>
      </c>
      <c r="H14">
        <f t="shared" si="1"/>
        <v>6000</v>
      </c>
      <c r="I14" t="str">
        <f t="shared" si="0"/>
        <v>February</v>
      </c>
      <c r="J14" s="7" t="str">
        <f>TEXT(Table24[[#This Row],[Order Date]],"m")</f>
        <v>2</v>
      </c>
    </row>
    <row r="15" spans="1:10" x14ac:dyDescent="0.35">
      <c r="A15" s="1">
        <v>45696</v>
      </c>
      <c r="B15" t="s">
        <v>10</v>
      </c>
      <c r="C15" t="s">
        <v>16</v>
      </c>
      <c r="D15" t="s">
        <v>12</v>
      </c>
      <c r="E15">
        <v>17000</v>
      </c>
      <c r="F15">
        <v>12500</v>
      </c>
      <c r="G15">
        <v>2</v>
      </c>
      <c r="H15">
        <f t="shared" si="1"/>
        <v>4500</v>
      </c>
      <c r="I15" t="str">
        <f t="shared" si="0"/>
        <v>February</v>
      </c>
      <c r="J15" s="7" t="str">
        <f>TEXT(Table24[[#This Row],[Order Date]],"m")</f>
        <v>2</v>
      </c>
    </row>
    <row r="16" spans="1:10" x14ac:dyDescent="0.35">
      <c r="A16" s="1">
        <v>45698</v>
      </c>
      <c r="B16" t="s">
        <v>13</v>
      </c>
      <c r="C16" t="s">
        <v>17</v>
      </c>
      <c r="D16" t="s">
        <v>9</v>
      </c>
      <c r="E16">
        <v>9000</v>
      </c>
      <c r="F16">
        <v>5000</v>
      </c>
      <c r="G16">
        <v>6</v>
      </c>
      <c r="H16">
        <f t="shared" si="1"/>
        <v>4000</v>
      </c>
      <c r="I16" t="str">
        <f t="shared" si="0"/>
        <v>February</v>
      </c>
      <c r="J16" s="7" t="str">
        <f>TEXT(Table24[[#This Row],[Order Date]],"m")</f>
        <v>2</v>
      </c>
    </row>
    <row r="17" spans="1:10" x14ac:dyDescent="0.35">
      <c r="A17" s="1">
        <v>45700</v>
      </c>
      <c r="B17" t="s">
        <v>15</v>
      </c>
      <c r="C17" t="s">
        <v>18</v>
      </c>
      <c r="D17" t="s">
        <v>12</v>
      </c>
      <c r="E17">
        <v>27000</v>
      </c>
      <c r="F17">
        <v>21000</v>
      </c>
      <c r="G17">
        <v>1</v>
      </c>
      <c r="H17">
        <f t="shared" si="1"/>
        <v>6000</v>
      </c>
      <c r="I17" t="str">
        <f t="shared" si="0"/>
        <v>February</v>
      </c>
      <c r="J17" s="7" t="str">
        <f>TEXT(Table24[[#This Row],[Order Date]],"m")</f>
        <v>2</v>
      </c>
    </row>
    <row r="18" spans="1:10" x14ac:dyDescent="0.35">
      <c r="A18" s="1">
        <v>45702</v>
      </c>
      <c r="B18" t="s">
        <v>7</v>
      </c>
      <c r="C18" t="s">
        <v>19</v>
      </c>
      <c r="D18" t="s">
        <v>9</v>
      </c>
      <c r="E18">
        <v>14000</v>
      </c>
      <c r="F18">
        <v>10500</v>
      </c>
      <c r="G18">
        <v>2</v>
      </c>
      <c r="H18">
        <f t="shared" si="1"/>
        <v>3500</v>
      </c>
      <c r="I18" t="str">
        <f t="shared" si="0"/>
        <v>February</v>
      </c>
      <c r="J18" s="7" t="str">
        <f>TEXT(Table24[[#This Row],[Order Date]],"m")</f>
        <v>2</v>
      </c>
    </row>
    <row r="19" spans="1:10" x14ac:dyDescent="0.35">
      <c r="A19" s="1">
        <v>45704</v>
      </c>
      <c r="B19" t="s">
        <v>10</v>
      </c>
      <c r="C19" t="s">
        <v>20</v>
      </c>
      <c r="D19" t="s">
        <v>12</v>
      </c>
      <c r="E19">
        <v>15000</v>
      </c>
      <c r="F19">
        <v>11000</v>
      </c>
      <c r="G19">
        <v>2</v>
      </c>
      <c r="H19">
        <f t="shared" si="1"/>
        <v>4000</v>
      </c>
      <c r="I19" t="str">
        <f t="shared" si="0"/>
        <v>February</v>
      </c>
      <c r="J19" s="7" t="str">
        <f>TEXT(Table24[[#This Row],[Order Date]],"m")</f>
        <v>2</v>
      </c>
    </row>
    <row r="20" spans="1:10" x14ac:dyDescent="0.35">
      <c r="A20" s="1">
        <v>45706</v>
      </c>
      <c r="B20" t="s">
        <v>13</v>
      </c>
      <c r="C20" t="s">
        <v>21</v>
      </c>
      <c r="D20" t="s">
        <v>9</v>
      </c>
      <c r="E20">
        <v>24000</v>
      </c>
      <c r="F20">
        <v>18500</v>
      </c>
      <c r="G20">
        <v>2</v>
      </c>
      <c r="H20">
        <f t="shared" si="1"/>
        <v>5500</v>
      </c>
      <c r="I20" t="str">
        <f t="shared" si="0"/>
        <v>February</v>
      </c>
      <c r="J20" s="7" t="str">
        <f>TEXT(Table24[[#This Row],[Order Date]],"m")</f>
        <v>2</v>
      </c>
    </row>
    <row r="21" spans="1:10" x14ac:dyDescent="0.35">
      <c r="A21" s="1">
        <v>45708</v>
      </c>
      <c r="B21" t="s">
        <v>15</v>
      </c>
      <c r="C21" t="s">
        <v>22</v>
      </c>
      <c r="D21" t="s">
        <v>12</v>
      </c>
      <c r="E21">
        <v>15500</v>
      </c>
      <c r="F21">
        <v>11800</v>
      </c>
      <c r="G21">
        <v>2</v>
      </c>
      <c r="H21">
        <f t="shared" si="1"/>
        <v>3700</v>
      </c>
      <c r="I21" t="str">
        <f t="shared" si="0"/>
        <v>February</v>
      </c>
      <c r="J21" s="7" t="str">
        <f>TEXT(Table24[[#This Row],[Order Date]],"m")</f>
        <v>2</v>
      </c>
    </row>
    <row r="22" spans="1:10" x14ac:dyDescent="0.35">
      <c r="A22" s="1">
        <v>45717</v>
      </c>
      <c r="B22" t="s">
        <v>7</v>
      </c>
      <c r="C22" t="s">
        <v>8</v>
      </c>
      <c r="D22" t="s">
        <v>9</v>
      </c>
      <c r="E22">
        <v>58000</v>
      </c>
      <c r="F22">
        <v>49000</v>
      </c>
      <c r="G22">
        <v>2</v>
      </c>
      <c r="H22">
        <f t="shared" si="1"/>
        <v>9000</v>
      </c>
      <c r="I22" t="str">
        <f t="shared" si="0"/>
        <v>March</v>
      </c>
      <c r="J22" s="7" t="str">
        <f>TEXT(Table24[[#This Row],[Order Date]],"m")</f>
        <v>3</v>
      </c>
    </row>
    <row r="23" spans="1:10" x14ac:dyDescent="0.35">
      <c r="A23" s="1">
        <v>45719</v>
      </c>
      <c r="B23" t="s">
        <v>10</v>
      </c>
      <c r="C23" t="s">
        <v>11</v>
      </c>
      <c r="D23" t="s">
        <v>12</v>
      </c>
      <c r="E23">
        <v>11000</v>
      </c>
      <c r="F23">
        <v>7900</v>
      </c>
      <c r="G23">
        <v>4</v>
      </c>
      <c r="H23">
        <f t="shared" si="1"/>
        <v>3100</v>
      </c>
      <c r="I23" t="str">
        <f t="shared" si="0"/>
        <v>March</v>
      </c>
      <c r="J23" s="7" t="str">
        <f>TEXT(Table24[[#This Row],[Order Date]],"m")</f>
        <v>3</v>
      </c>
    </row>
    <row r="24" spans="1:10" x14ac:dyDescent="0.35">
      <c r="A24" s="1">
        <v>45721</v>
      </c>
      <c r="B24" t="s">
        <v>13</v>
      </c>
      <c r="C24" t="s">
        <v>14</v>
      </c>
      <c r="D24" t="s">
        <v>9</v>
      </c>
      <c r="E24">
        <v>32000</v>
      </c>
      <c r="F24">
        <v>25500</v>
      </c>
      <c r="G24">
        <v>3</v>
      </c>
      <c r="H24">
        <f t="shared" si="1"/>
        <v>6500</v>
      </c>
      <c r="I24" t="str">
        <f t="shared" si="0"/>
        <v>March</v>
      </c>
      <c r="J24" s="7" t="str">
        <f>TEXT(Table24[[#This Row],[Order Date]],"m")</f>
        <v>3</v>
      </c>
    </row>
    <row r="25" spans="1:10" x14ac:dyDescent="0.35">
      <c r="A25" s="1">
        <v>45723</v>
      </c>
      <c r="B25" t="s">
        <v>15</v>
      </c>
      <c r="C25" t="s">
        <v>16</v>
      </c>
      <c r="D25" t="s">
        <v>12</v>
      </c>
      <c r="E25">
        <v>19000</v>
      </c>
      <c r="F25">
        <v>13800</v>
      </c>
      <c r="G25">
        <v>2</v>
      </c>
      <c r="H25">
        <f t="shared" si="1"/>
        <v>5200</v>
      </c>
      <c r="I25" t="str">
        <f t="shared" si="0"/>
        <v>March</v>
      </c>
      <c r="J25" s="7" t="str">
        <f>TEXT(Table24[[#This Row],[Order Date]],"m")</f>
        <v>3</v>
      </c>
    </row>
    <row r="26" spans="1:10" x14ac:dyDescent="0.35">
      <c r="A26" s="1">
        <v>45725</v>
      </c>
      <c r="B26" t="s">
        <v>7</v>
      </c>
      <c r="C26" t="s">
        <v>17</v>
      </c>
      <c r="D26" t="s">
        <v>9</v>
      </c>
      <c r="E26">
        <v>8500</v>
      </c>
      <c r="F26">
        <v>5100</v>
      </c>
      <c r="G26">
        <v>5</v>
      </c>
      <c r="H26">
        <f t="shared" si="1"/>
        <v>3400</v>
      </c>
      <c r="I26" t="str">
        <f t="shared" si="0"/>
        <v>March</v>
      </c>
      <c r="J26" s="7" t="str">
        <f>TEXT(Table24[[#This Row],[Order Date]],"m")</f>
        <v>3</v>
      </c>
    </row>
    <row r="27" spans="1:10" x14ac:dyDescent="0.35">
      <c r="A27" s="1">
        <v>45727</v>
      </c>
      <c r="B27" t="s">
        <v>10</v>
      </c>
      <c r="C27" t="s">
        <v>18</v>
      </c>
      <c r="D27" t="s">
        <v>12</v>
      </c>
      <c r="E27">
        <v>26000</v>
      </c>
      <c r="F27">
        <v>19800</v>
      </c>
      <c r="G27">
        <v>1</v>
      </c>
      <c r="H27">
        <f t="shared" si="1"/>
        <v>6200</v>
      </c>
      <c r="I27" t="str">
        <f t="shared" si="0"/>
        <v>March</v>
      </c>
      <c r="J27" s="7" t="str">
        <f>TEXT(Table24[[#This Row],[Order Date]],"m")</f>
        <v>3</v>
      </c>
    </row>
    <row r="28" spans="1:10" x14ac:dyDescent="0.35">
      <c r="A28" s="1">
        <v>45729</v>
      </c>
      <c r="B28" t="s">
        <v>13</v>
      </c>
      <c r="C28" t="s">
        <v>19</v>
      </c>
      <c r="D28" t="s">
        <v>9</v>
      </c>
      <c r="E28">
        <v>15500</v>
      </c>
      <c r="F28">
        <v>11200</v>
      </c>
      <c r="G28">
        <v>2</v>
      </c>
      <c r="H28">
        <f t="shared" si="1"/>
        <v>4300</v>
      </c>
      <c r="I28" t="str">
        <f t="shared" si="0"/>
        <v>March</v>
      </c>
      <c r="J28" s="7" t="str">
        <f>TEXT(Table24[[#This Row],[Order Date]],"m")</f>
        <v>3</v>
      </c>
    </row>
    <row r="29" spans="1:10" x14ac:dyDescent="0.35">
      <c r="A29" s="1">
        <v>45731</v>
      </c>
      <c r="B29" t="s">
        <v>15</v>
      </c>
      <c r="C29" t="s">
        <v>20</v>
      </c>
      <c r="D29" t="s">
        <v>12</v>
      </c>
      <c r="E29">
        <v>14500</v>
      </c>
      <c r="F29">
        <v>10300</v>
      </c>
      <c r="G29">
        <v>2</v>
      </c>
      <c r="H29">
        <f t="shared" si="1"/>
        <v>4200</v>
      </c>
      <c r="I29" t="str">
        <f t="shared" si="0"/>
        <v>March</v>
      </c>
      <c r="J29" s="7" t="str">
        <f>TEXT(Table24[[#This Row],[Order Date]],"m")</f>
        <v>3</v>
      </c>
    </row>
    <row r="30" spans="1:10" x14ac:dyDescent="0.35">
      <c r="A30" s="1">
        <v>45733</v>
      </c>
      <c r="B30" t="s">
        <v>7</v>
      </c>
      <c r="C30" t="s">
        <v>21</v>
      </c>
      <c r="D30" t="s">
        <v>9</v>
      </c>
      <c r="E30">
        <v>23000</v>
      </c>
      <c r="F30">
        <v>17600</v>
      </c>
      <c r="G30">
        <v>2</v>
      </c>
      <c r="H30">
        <f t="shared" si="1"/>
        <v>5400</v>
      </c>
      <c r="I30" t="str">
        <f t="shared" si="0"/>
        <v>March</v>
      </c>
      <c r="J30" s="7" t="str">
        <f>TEXT(Table24[[#This Row],[Order Date]],"m")</f>
        <v>3</v>
      </c>
    </row>
    <row r="31" spans="1:10" x14ac:dyDescent="0.35">
      <c r="A31" s="1">
        <v>45735</v>
      </c>
      <c r="B31" t="s">
        <v>10</v>
      </c>
      <c r="C31" t="s">
        <v>22</v>
      </c>
      <c r="D31" t="s">
        <v>12</v>
      </c>
      <c r="E31">
        <v>16500</v>
      </c>
      <c r="F31">
        <v>12400</v>
      </c>
      <c r="G31">
        <v>2</v>
      </c>
      <c r="H31">
        <f t="shared" si="1"/>
        <v>4100</v>
      </c>
      <c r="I31" t="str">
        <f t="shared" si="0"/>
        <v>March</v>
      </c>
      <c r="J31" s="7" t="str">
        <f>TEXT(Table24[[#This Row],[Order Date]],"m")</f>
        <v>3</v>
      </c>
    </row>
    <row r="32" spans="1:10" x14ac:dyDescent="0.35">
      <c r="A32" s="1">
        <v>45749</v>
      </c>
      <c r="B32" t="s">
        <v>13</v>
      </c>
      <c r="C32" t="s">
        <v>8</v>
      </c>
      <c r="D32" t="s">
        <v>9</v>
      </c>
      <c r="E32">
        <v>62000</v>
      </c>
      <c r="F32">
        <v>52000</v>
      </c>
      <c r="G32">
        <v>2</v>
      </c>
      <c r="H32">
        <f t="shared" si="1"/>
        <v>10000</v>
      </c>
      <c r="I32" t="str">
        <f t="shared" si="0"/>
        <v>April</v>
      </c>
      <c r="J32" s="7" t="str">
        <f>TEXT(Table24[[#This Row],[Order Date]],"m")</f>
        <v>4</v>
      </c>
    </row>
    <row r="33" spans="1:10" x14ac:dyDescent="0.35">
      <c r="A33" s="1">
        <v>45751</v>
      </c>
      <c r="B33" t="s">
        <v>15</v>
      </c>
      <c r="C33" t="s">
        <v>11</v>
      </c>
      <c r="D33" t="s">
        <v>12</v>
      </c>
      <c r="E33">
        <v>10500</v>
      </c>
      <c r="F33">
        <v>7600</v>
      </c>
      <c r="G33">
        <v>3</v>
      </c>
      <c r="H33">
        <f t="shared" si="1"/>
        <v>2900</v>
      </c>
      <c r="I33" t="str">
        <f t="shared" si="0"/>
        <v>April</v>
      </c>
      <c r="J33" s="7" t="str">
        <f>TEXT(Table24[[#This Row],[Order Date]],"m")</f>
        <v>4</v>
      </c>
    </row>
    <row r="34" spans="1:10" x14ac:dyDescent="0.35">
      <c r="A34" s="1">
        <v>45753</v>
      </c>
      <c r="B34" t="s">
        <v>7</v>
      </c>
      <c r="C34" t="s">
        <v>14</v>
      </c>
      <c r="D34" t="s">
        <v>9</v>
      </c>
      <c r="E34">
        <v>29500</v>
      </c>
      <c r="F34">
        <v>23000</v>
      </c>
      <c r="G34">
        <v>2</v>
      </c>
      <c r="H34">
        <f t="shared" si="1"/>
        <v>6500</v>
      </c>
      <c r="I34" t="str">
        <f t="shared" si="0"/>
        <v>April</v>
      </c>
      <c r="J34" s="7" t="str">
        <f>TEXT(Table24[[#This Row],[Order Date]],"m")</f>
        <v>4</v>
      </c>
    </row>
    <row r="35" spans="1:10" x14ac:dyDescent="0.35">
      <c r="A35" s="1">
        <v>45755</v>
      </c>
      <c r="B35" t="s">
        <v>10</v>
      </c>
      <c r="C35" t="s">
        <v>16</v>
      </c>
      <c r="D35" t="s">
        <v>12</v>
      </c>
      <c r="E35">
        <v>17500</v>
      </c>
      <c r="F35">
        <v>12800</v>
      </c>
      <c r="G35">
        <v>2</v>
      </c>
      <c r="H35">
        <f t="shared" si="1"/>
        <v>4700</v>
      </c>
      <c r="I35" t="str">
        <f t="shared" si="0"/>
        <v>April</v>
      </c>
      <c r="J35" s="7" t="str">
        <f>TEXT(Table24[[#This Row],[Order Date]],"m")</f>
        <v>4</v>
      </c>
    </row>
    <row r="36" spans="1:10" x14ac:dyDescent="0.35">
      <c r="A36" s="1">
        <v>45757</v>
      </c>
      <c r="B36" t="s">
        <v>13</v>
      </c>
      <c r="C36" t="s">
        <v>17</v>
      </c>
      <c r="D36" t="s">
        <v>9</v>
      </c>
      <c r="E36">
        <v>9500</v>
      </c>
      <c r="F36">
        <v>5600</v>
      </c>
      <c r="G36">
        <v>6</v>
      </c>
      <c r="H36">
        <f t="shared" si="1"/>
        <v>3900</v>
      </c>
      <c r="I36" t="str">
        <f t="shared" si="0"/>
        <v>April</v>
      </c>
      <c r="J36" s="7" t="str">
        <f>TEXT(Table24[[#This Row],[Order Date]],"m")</f>
        <v>4</v>
      </c>
    </row>
    <row r="37" spans="1:10" x14ac:dyDescent="0.35">
      <c r="A37" s="1">
        <v>45759</v>
      </c>
      <c r="B37" t="s">
        <v>15</v>
      </c>
      <c r="C37" t="s">
        <v>18</v>
      </c>
      <c r="D37" t="s">
        <v>12</v>
      </c>
      <c r="E37">
        <v>28000</v>
      </c>
      <c r="F37">
        <v>21800</v>
      </c>
      <c r="G37">
        <v>1</v>
      </c>
      <c r="H37">
        <f t="shared" si="1"/>
        <v>6200</v>
      </c>
      <c r="I37" t="str">
        <f t="shared" si="0"/>
        <v>April</v>
      </c>
      <c r="J37" s="7" t="str">
        <f>TEXT(Table24[[#This Row],[Order Date]],"m")</f>
        <v>4</v>
      </c>
    </row>
    <row r="38" spans="1:10" x14ac:dyDescent="0.35">
      <c r="A38" s="1">
        <v>45761</v>
      </c>
      <c r="B38" t="s">
        <v>7</v>
      </c>
      <c r="C38" t="s">
        <v>19</v>
      </c>
      <c r="D38" t="s">
        <v>9</v>
      </c>
      <c r="E38">
        <v>14500</v>
      </c>
      <c r="F38">
        <v>10800</v>
      </c>
      <c r="G38">
        <v>2</v>
      </c>
      <c r="H38">
        <f t="shared" si="1"/>
        <v>3700</v>
      </c>
      <c r="I38" t="str">
        <f t="shared" si="0"/>
        <v>April</v>
      </c>
      <c r="J38" s="7" t="str">
        <f>TEXT(Table24[[#This Row],[Order Date]],"m")</f>
        <v>4</v>
      </c>
    </row>
    <row r="39" spans="1:10" x14ac:dyDescent="0.35">
      <c r="A39" s="1">
        <v>45763</v>
      </c>
      <c r="B39" t="s">
        <v>10</v>
      </c>
      <c r="C39" t="s">
        <v>20</v>
      </c>
      <c r="D39" t="s">
        <v>12</v>
      </c>
      <c r="E39">
        <v>15200</v>
      </c>
      <c r="F39">
        <v>11200</v>
      </c>
      <c r="G39">
        <v>2</v>
      </c>
      <c r="H39">
        <f t="shared" si="1"/>
        <v>4000</v>
      </c>
      <c r="I39" t="str">
        <f t="shared" si="0"/>
        <v>April</v>
      </c>
      <c r="J39" s="7" t="str">
        <f>TEXT(Table24[[#This Row],[Order Date]],"m")</f>
        <v>4</v>
      </c>
    </row>
    <row r="40" spans="1:10" x14ac:dyDescent="0.35">
      <c r="A40" s="1">
        <v>45765</v>
      </c>
      <c r="B40" t="s">
        <v>13</v>
      </c>
      <c r="C40" t="s">
        <v>21</v>
      </c>
      <c r="D40" t="s">
        <v>9</v>
      </c>
      <c r="E40">
        <v>24500</v>
      </c>
      <c r="F40">
        <v>18800</v>
      </c>
      <c r="G40">
        <v>2</v>
      </c>
      <c r="H40">
        <f t="shared" si="1"/>
        <v>5700</v>
      </c>
      <c r="I40" t="str">
        <f t="shared" si="0"/>
        <v>April</v>
      </c>
      <c r="J40" s="7" t="str">
        <f>TEXT(Table24[[#This Row],[Order Date]],"m")</f>
        <v>4</v>
      </c>
    </row>
    <row r="41" spans="1:10" x14ac:dyDescent="0.35">
      <c r="A41" s="1">
        <v>45767</v>
      </c>
      <c r="B41" t="s">
        <v>15</v>
      </c>
      <c r="C41" t="s">
        <v>22</v>
      </c>
      <c r="D41" t="s">
        <v>12</v>
      </c>
      <c r="E41">
        <v>15800</v>
      </c>
      <c r="F41">
        <v>11900</v>
      </c>
      <c r="G41">
        <v>2</v>
      </c>
      <c r="H41">
        <f t="shared" si="1"/>
        <v>3900</v>
      </c>
      <c r="I41" t="str">
        <f t="shared" si="0"/>
        <v>April</v>
      </c>
      <c r="J41" s="7" t="str">
        <f>TEXT(Table24[[#This Row],[Order Date]],"m")</f>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37"/>
  <sheetViews>
    <sheetView zoomScale="55" zoomScaleNormal="55" workbookViewId="0">
      <selection activeCell="AD14" sqref="AD14"/>
    </sheetView>
  </sheetViews>
  <sheetFormatPr defaultRowHeight="14.5" x14ac:dyDescent="0.35"/>
  <cols>
    <col min="1" max="1" width="12.36328125" customWidth="1"/>
    <col min="2" max="2" width="11.26953125" customWidth="1"/>
    <col min="3" max="3" width="11.81640625" customWidth="1"/>
    <col min="4" max="4" width="6.1796875" customWidth="1"/>
    <col min="5" max="5" width="4.7265625" customWidth="1"/>
    <col min="6" max="6" width="10.7265625" bestFit="1" customWidth="1"/>
  </cols>
  <sheetData>
    <row r="3" spans="1:3" x14ac:dyDescent="0.35">
      <c r="A3" s="8" t="s">
        <v>28</v>
      </c>
      <c r="B3" t="s">
        <v>27</v>
      </c>
      <c r="C3" t="s">
        <v>29</v>
      </c>
    </row>
    <row r="4" spans="1:3" x14ac:dyDescent="0.35">
      <c r="A4" s="9" t="s">
        <v>13</v>
      </c>
      <c r="B4" s="5">
        <v>281500</v>
      </c>
      <c r="C4" s="5">
        <v>59900</v>
      </c>
    </row>
    <row r="5" spans="1:3" x14ac:dyDescent="0.35">
      <c r="A5" s="9" t="s">
        <v>7</v>
      </c>
      <c r="B5" s="5">
        <v>259500</v>
      </c>
      <c r="C5" s="5">
        <v>53300</v>
      </c>
    </row>
    <row r="6" spans="1:3" x14ac:dyDescent="0.35">
      <c r="A6" s="9" t="s">
        <v>10</v>
      </c>
      <c r="B6" s="5">
        <v>171200</v>
      </c>
      <c r="C6" s="5">
        <v>44100</v>
      </c>
    </row>
    <row r="7" spans="1:3" x14ac:dyDescent="0.35">
      <c r="A7" s="9" t="s">
        <v>15</v>
      </c>
      <c r="B7" s="5">
        <v>172300</v>
      </c>
      <c r="C7" s="5">
        <v>43900</v>
      </c>
    </row>
    <row r="8" spans="1:3" x14ac:dyDescent="0.35">
      <c r="A8" s="9" t="s">
        <v>26</v>
      </c>
      <c r="B8" s="5">
        <v>884500</v>
      </c>
      <c r="C8" s="5">
        <v>201200</v>
      </c>
    </row>
    <row r="11" spans="1:3" x14ac:dyDescent="0.35">
      <c r="A11" s="8" t="s">
        <v>30</v>
      </c>
      <c r="B11" t="s">
        <v>27</v>
      </c>
      <c r="C11" t="s">
        <v>29</v>
      </c>
    </row>
    <row r="12" spans="1:3" x14ac:dyDescent="0.35">
      <c r="A12" s="9" t="s">
        <v>20</v>
      </c>
      <c r="B12" s="5">
        <v>58700</v>
      </c>
      <c r="C12" s="5">
        <v>16200</v>
      </c>
    </row>
    <row r="13" spans="1:3" x14ac:dyDescent="0.35">
      <c r="A13" s="9" t="s">
        <v>11</v>
      </c>
      <c r="B13" s="5">
        <v>43500</v>
      </c>
      <c r="C13" s="5">
        <v>12300</v>
      </c>
    </row>
    <row r="14" spans="1:3" x14ac:dyDescent="0.35">
      <c r="A14" s="9" t="s">
        <v>22</v>
      </c>
      <c r="B14" s="5">
        <v>63800</v>
      </c>
      <c r="C14" s="5">
        <v>15700</v>
      </c>
    </row>
    <row r="15" spans="1:3" x14ac:dyDescent="0.35">
      <c r="A15" s="9" t="s">
        <v>17</v>
      </c>
      <c r="B15" s="5">
        <v>34000</v>
      </c>
      <c r="C15" s="5">
        <v>14100</v>
      </c>
    </row>
    <row r="16" spans="1:3" x14ac:dyDescent="0.35">
      <c r="A16" s="9" t="s">
        <v>8</v>
      </c>
      <c r="B16" s="5">
        <v>235000</v>
      </c>
      <c r="C16" s="5">
        <v>37000</v>
      </c>
    </row>
    <row r="17" spans="1:3" x14ac:dyDescent="0.35">
      <c r="A17" s="9" t="s">
        <v>14</v>
      </c>
      <c r="B17" s="5">
        <v>119500</v>
      </c>
      <c r="C17" s="5">
        <v>25000</v>
      </c>
    </row>
    <row r="18" spans="1:3" x14ac:dyDescent="0.35">
      <c r="A18" s="9" t="s">
        <v>19</v>
      </c>
      <c r="B18" s="5">
        <v>59000</v>
      </c>
      <c r="C18" s="5">
        <v>15500</v>
      </c>
    </row>
    <row r="19" spans="1:3" x14ac:dyDescent="0.35">
      <c r="A19" s="9" t="s">
        <v>18</v>
      </c>
      <c r="B19" s="5">
        <v>106000</v>
      </c>
      <c r="C19" s="5">
        <v>24400</v>
      </c>
    </row>
    <row r="20" spans="1:3" x14ac:dyDescent="0.35">
      <c r="A20" s="9" t="s">
        <v>16</v>
      </c>
      <c r="B20" s="5">
        <v>71500</v>
      </c>
      <c r="C20" s="5">
        <v>19400</v>
      </c>
    </row>
    <row r="21" spans="1:3" x14ac:dyDescent="0.35">
      <c r="A21" s="9" t="s">
        <v>21</v>
      </c>
      <c r="B21" s="5">
        <v>93500</v>
      </c>
      <c r="C21" s="5">
        <v>21600</v>
      </c>
    </row>
    <row r="22" spans="1:3" x14ac:dyDescent="0.35">
      <c r="A22" s="9" t="s">
        <v>26</v>
      </c>
      <c r="B22" s="5">
        <v>884500</v>
      </c>
      <c r="C22" s="5">
        <v>201200</v>
      </c>
    </row>
    <row r="25" spans="1:3" x14ac:dyDescent="0.35">
      <c r="A25" s="8" t="s">
        <v>31</v>
      </c>
      <c r="B25" t="s">
        <v>27</v>
      </c>
      <c r="C25" t="s">
        <v>29</v>
      </c>
    </row>
    <row r="26" spans="1:3" x14ac:dyDescent="0.35">
      <c r="A26" s="9" t="s">
        <v>9</v>
      </c>
      <c r="B26" s="5">
        <v>541000</v>
      </c>
      <c r="C26" s="5">
        <v>113200</v>
      </c>
    </row>
    <row r="27" spans="1:3" x14ac:dyDescent="0.35">
      <c r="A27" s="9" t="s">
        <v>12</v>
      </c>
      <c r="B27" s="5">
        <v>343500</v>
      </c>
      <c r="C27" s="5">
        <v>88000</v>
      </c>
    </row>
    <row r="28" spans="1:3" x14ac:dyDescent="0.35">
      <c r="A28" s="9" t="s">
        <v>26</v>
      </c>
      <c r="B28" s="5">
        <v>884500</v>
      </c>
      <c r="C28" s="5">
        <v>201200</v>
      </c>
    </row>
    <row r="32" spans="1:3" x14ac:dyDescent="0.35">
      <c r="A32" s="8" t="s">
        <v>48</v>
      </c>
      <c r="B32" t="s">
        <v>27</v>
      </c>
      <c r="C32" t="s">
        <v>29</v>
      </c>
    </row>
    <row r="33" spans="1:3" x14ac:dyDescent="0.35">
      <c r="A33" s="9" t="s">
        <v>32</v>
      </c>
      <c r="B33" s="5">
        <v>214000</v>
      </c>
      <c r="C33" s="5">
        <v>48300</v>
      </c>
    </row>
    <row r="34" spans="1:3" x14ac:dyDescent="0.35">
      <c r="A34" s="9" t="s">
        <v>33</v>
      </c>
      <c r="B34" s="5">
        <v>219500</v>
      </c>
      <c r="C34" s="5">
        <v>50000</v>
      </c>
    </row>
    <row r="35" spans="1:3" x14ac:dyDescent="0.35">
      <c r="A35" s="9" t="s">
        <v>34</v>
      </c>
      <c r="B35" s="5">
        <v>224000</v>
      </c>
      <c r="C35" s="5">
        <v>51400</v>
      </c>
    </row>
    <row r="36" spans="1:3" x14ac:dyDescent="0.35">
      <c r="A36" s="9" t="s">
        <v>35</v>
      </c>
      <c r="B36" s="5">
        <v>227000</v>
      </c>
      <c r="C36" s="5">
        <v>51500</v>
      </c>
    </row>
    <row r="37" spans="1:3" x14ac:dyDescent="0.35">
      <c r="A37" s="9" t="s">
        <v>26</v>
      </c>
      <c r="B37" s="5">
        <v>884500</v>
      </c>
      <c r="C37" s="5">
        <v>201200</v>
      </c>
    </row>
  </sheetData>
  <sortState columnSort="1" ref="A32:C37">
    <sortCondition descending="1" ref="C32"/>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5"/>
  <sheetViews>
    <sheetView showGridLines="0" topLeftCell="A4" zoomScale="55" zoomScaleNormal="55" workbookViewId="0">
      <selection activeCell="S47" sqref="S47"/>
    </sheetView>
  </sheetViews>
  <sheetFormatPr defaultRowHeight="14.5" x14ac:dyDescent="0.35"/>
  <cols>
    <col min="2" max="2" width="23.7265625" bestFit="1" customWidth="1"/>
    <col min="4" max="4" width="11.7265625" bestFit="1" customWidth="1"/>
    <col min="6" max="6" width="11.7265625" bestFit="1" customWidth="1"/>
    <col min="8" max="8" width="12.6328125" bestFit="1" customWidth="1"/>
    <col min="10" max="10" width="11.7265625" bestFit="1" customWidth="1"/>
  </cols>
  <sheetData>
    <row r="2" spans="2:10" ht="15.5" x14ac:dyDescent="0.35">
      <c r="B2" s="10" t="s">
        <v>36</v>
      </c>
    </row>
    <row r="4" spans="2:10" x14ac:dyDescent="0.35">
      <c r="B4" t="s">
        <v>38</v>
      </c>
      <c r="D4" t="s">
        <v>39</v>
      </c>
      <c r="F4" t="s">
        <v>37</v>
      </c>
      <c r="H4" t="s">
        <v>40</v>
      </c>
      <c r="J4" t="s">
        <v>41</v>
      </c>
    </row>
    <row r="5" spans="2:10" x14ac:dyDescent="0.35">
      <c r="B5" s="13">
        <f>SUM('Clean Data'!E:E)</f>
        <v>884500</v>
      </c>
      <c r="C5" s="13"/>
      <c r="D5" s="13">
        <f>SUM('Clean Data'!F:F)</f>
        <v>683300</v>
      </c>
      <c r="E5" s="13"/>
      <c r="F5" s="13">
        <f>SUM('Clean Data'!H:H)</f>
        <v>201200</v>
      </c>
      <c r="H5">
        <f>SUM('Clean Data'!G:G)</f>
        <v>98</v>
      </c>
      <c r="J5" s="11">
        <f>F5/B5</f>
        <v>0.22747314867156584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tabSelected="1" workbookViewId="0">
      <selection activeCell="B7" sqref="B7"/>
    </sheetView>
  </sheetViews>
  <sheetFormatPr defaultRowHeight="14.5" x14ac:dyDescent="0.35"/>
  <cols>
    <col min="1" max="1" width="20.36328125" bestFit="1" customWidth="1"/>
  </cols>
  <sheetData>
    <row r="1" spans="1:2" x14ac:dyDescent="0.35">
      <c r="A1" t="s">
        <v>42</v>
      </c>
    </row>
    <row r="3" spans="1:2" x14ac:dyDescent="0.35">
      <c r="A3" t="s">
        <v>43</v>
      </c>
      <c r="B3" t="s">
        <v>13</v>
      </c>
    </row>
    <row r="4" spans="1:2" x14ac:dyDescent="0.35">
      <c r="A4" t="s">
        <v>44</v>
      </c>
      <c r="B4" t="s">
        <v>8</v>
      </c>
    </row>
    <row r="5" spans="1:2" x14ac:dyDescent="0.35">
      <c r="A5" t="s">
        <v>45</v>
      </c>
      <c r="B5" t="s">
        <v>9</v>
      </c>
    </row>
    <row r="6" spans="1:2" x14ac:dyDescent="0.35">
      <c r="A6" s="12" t="s">
        <v>46</v>
      </c>
      <c r="B6" t="s">
        <v>35</v>
      </c>
    </row>
    <row r="7" spans="1:2" x14ac:dyDescent="0.35">
      <c r="A7" s="12" t="s">
        <v>47</v>
      </c>
      <c r="B7"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 </vt:lpstr>
      <vt:lpstr>Clean Data</vt:lpstr>
      <vt:lpstr>Pivot</vt:lpstr>
      <vt:lpstr>Dashboard</vt:lpstr>
      <vt:lpstr>Insights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Nitesh Agarwal</dc:creator>
  <cp:lastModifiedBy>Nitesh Agarwal</cp:lastModifiedBy>
  <dcterms:created xsi:type="dcterms:W3CDTF">2026-03-23T07:39:27Z</dcterms:created>
  <dcterms:modified xsi:type="dcterms:W3CDTF">2026-04-10T06:41:31Z</dcterms:modified>
</cp:coreProperties>
</file>